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9"/>
  <workbookPr/>
  <mc:AlternateContent xmlns:mc="http://schemas.openxmlformats.org/markup-compatibility/2006">
    <mc:Choice Requires="x15">
      <x15ac:absPath xmlns:x15ac="http://schemas.microsoft.com/office/spreadsheetml/2010/11/ac" url="F:\Data Analysis\Projects\Excel\Employe Performance\"/>
    </mc:Choice>
  </mc:AlternateContent>
  <xr:revisionPtr revIDLastSave="0" documentId="13_ncr:1_{469BEF23-6570-407B-9CBB-E75091444D4B}" xr6:coauthVersionLast="47" xr6:coauthVersionMax="47" xr10:uidLastSave="{00000000-0000-0000-0000-000000000000}"/>
  <bookViews>
    <workbookView xWindow="-108" yWindow="-108" windowWidth="23256" windowHeight="12576" activeTab="1" xr2:uid="{00000000-000D-0000-FFFF-FFFF00000000}"/>
  </bookViews>
  <sheets>
    <sheet name="Employe_Performance_dataset" sheetId="2" r:id="rId1"/>
    <sheet name="Calculation" sheetId="3" r:id="rId2"/>
    <sheet name="DashBoard" sheetId="1" r:id="rId3"/>
  </sheets>
  <definedNames>
    <definedName name="_xlcn.WorksheetConnection_EmployePerformanceAnalysis.xlsxEmploye_Performance_dataset1" hidden="1">Employe_Performance_dataset[]</definedName>
    <definedName name="ExternalData_1" localSheetId="0" hidden="1">Employe_Performance_dataset!$A$1:$K$502</definedName>
    <definedName name="Slicer_Department">#N/A</definedName>
    <definedName name="Slicer_Experience">#N/A</definedName>
    <definedName name="Slicer_Location">#N/A</definedName>
    <definedName name="Slicer_Performance_Score">#N/A</definedName>
  </definedNames>
  <calcPr calcId="191029"/>
  <pivotCaches>
    <pivotCache cacheId="19" r:id="rId4"/>
    <pivotCache cacheId="22" r:id="rId5"/>
    <pivotCache cacheId="25" r:id="rId6"/>
    <pivotCache cacheId="28" r:id="rId7"/>
    <pivotCache cacheId="31" r:id="rId8"/>
    <pivotCache cacheId="34" r:id="rId9"/>
    <pivotCache cacheId="37" r:id="rId10"/>
    <pivotCache cacheId="40" r:id="rId11"/>
    <pivotCache cacheId="43" r:id="rId12"/>
    <pivotCache cacheId="46" r:id="rId13"/>
    <pivotCache cacheId="49" r:id="rId14"/>
    <pivotCache cacheId="52" r:id="rId15"/>
    <pivotCache cacheId="55" r:id="rId16"/>
    <pivotCache cacheId="58" r:id="rId17"/>
    <pivotCache cacheId="61" r:id="rId18"/>
  </pivotCaches>
  <extLst>
    <ext xmlns:x14="http://schemas.microsoft.com/office/spreadsheetml/2009/9/main" uri="{876F7934-8845-4945-9796-88D515C7AA90}">
      <x14:pivotCaches>
        <pivotCache cacheId="18" r:id="rId19"/>
      </x14:pivotCaches>
    </ext>
    <ext xmlns:x14="http://schemas.microsoft.com/office/spreadsheetml/2009/9/main" uri="{BBE1A952-AA13-448e-AADC-164F8A28A991}">
      <x14:slicerCaches>
        <x14:slicerCache r:id="rId20"/>
        <x14:slicerCache r:id="rId21"/>
        <x14:slicerCache r:id="rId22"/>
        <x14:slicerCache r:id="rId2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mploye_Performance_dataset" name="Employe_Performance_dataset" connection="WorksheetConnection_Employe Performance Analysis.xlsx!Employe_Performance_dataset"/>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7" i="3" l="1"/>
  <c r="A7" i="3"/>
  <c r="A12"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B165F24-A080-4A98-9DEC-B9AE534FE419}" keepAlive="1" name="Query - Employe_Performance_dataset" description="Connection to the 'Employe_Performance_dataset' query in the workbook." type="5" refreshedVersion="8" background="1" saveData="1">
    <dbPr connection="Provider=Microsoft.Mashup.OleDb.1;Data Source=$Workbook$;Location=Employe_Performance_dataset;Extended Properties=&quot;&quot;" command="SELECT * FROM [Employe_Performance_dataset]"/>
  </connection>
  <connection id="2" xr16:uid="{AD171796-AA31-4218-8809-B9A31425789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1A23C677-78A6-4B6A-930B-2CF15F4A7694}" name="WorksheetConnection_Employe Performance Analysis.xlsx!Employe_Performance_dataset" type="102" refreshedVersion="8" minRefreshableVersion="5">
    <extLst>
      <ext xmlns:x15="http://schemas.microsoft.com/office/spreadsheetml/2010/11/main" uri="{DE250136-89BD-433C-8126-D09CA5730AF9}">
        <x15:connection id="Employe_Performance_dataset">
          <x15:rangePr sourceName="_xlcn.WorksheetConnection_EmployePerformanceAnalysis.xlsxEmploye_Performance_dataset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4">
    <s v="ThisWorkbookDataModel"/>
    <s v="{[Employe_Performance_dataset].[Performance Score].&amp;[5]}"/>
    <s v="{[Employe_Performance_dataset].[Department].&amp;[Sales]}"/>
    <s v="{[Employe_Performance_dataset].[Performance Score].&amp;[1.],[Employe_Performance_dataset].[Performance Score].&amp;[2.]}"/>
  </metadataStrings>
  <mdxMetadata count="3">
    <mdx n="0" f="s">
      <ms ns="1" c="0"/>
    </mdx>
    <mdx n="0" f="s">
      <ms ns="2" c="0"/>
    </mdx>
    <mdx n="0" f="s">
      <ms ns="3" c="0"/>
    </mdx>
  </mdxMetadata>
  <valueMetadata count="3">
    <bk>
      <rc t="1" v="0"/>
    </bk>
    <bk>
      <rc t="1" v="1"/>
    </bk>
    <bk>
      <rc t="1" v="2"/>
    </bk>
  </valueMetadata>
</metadata>
</file>

<file path=xl/sharedStrings.xml><?xml version="1.0" encoding="utf-8"?>
<sst xmlns="http://schemas.openxmlformats.org/spreadsheetml/2006/main" count="2625" uniqueCount="547">
  <si>
    <t>ID</t>
  </si>
  <si>
    <t>Name</t>
  </si>
  <si>
    <t>Age</t>
  </si>
  <si>
    <t>Gender</t>
  </si>
  <si>
    <t>Department</t>
  </si>
  <si>
    <t>Salary</t>
  </si>
  <si>
    <t>Joining Date</t>
  </si>
  <si>
    <t>Performance Score</t>
  </si>
  <si>
    <t>Experience</t>
  </si>
  <si>
    <t>Location</t>
  </si>
  <si>
    <t>Session</t>
  </si>
  <si>
    <t>Cory Escobar</t>
  </si>
  <si>
    <t>Female</t>
  </si>
  <si>
    <t>HR</t>
  </si>
  <si>
    <t>New York</t>
  </si>
  <si>
    <t>Night</t>
  </si>
  <si>
    <t>Other</t>
  </si>
  <si>
    <t>Sales</t>
  </si>
  <si>
    <t>Los Angeles</t>
  </si>
  <si>
    <t>Evening</t>
  </si>
  <si>
    <t>Morning</t>
  </si>
  <si>
    <t>IT</t>
  </si>
  <si>
    <t>Ashley Howe</t>
  </si>
  <si>
    <t>Chicago</t>
  </si>
  <si>
    <t>David Olson</t>
  </si>
  <si>
    <t>Brian Faulkner</t>
  </si>
  <si>
    <t>Male</t>
  </si>
  <si>
    <t>Nicole Bell</t>
  </si>
  <si>
    <t>Rodney Richardson</t>
  </si>
  <si>
    <t>Jacqueline Randall</t>
  </si>
  <si>
    <t>Victoria Fox</t>
  </si>
  <si>
    <t>Heather Jones</t>
  </si>
  <si>
    <t>Marissa Stewart</t>
  </si>
  <si>
    <t>Tracy Carlson</t>
  </si>
  <si>
    <t>Tara Blackwell</t>
  </si>
  <si>
    <t>Trevor Duncan</t>
  </si>
  <si>
    <t>Mr. Brian Nelson</t>
  </si>
  <si>
    <t>Jacqueline Moore</t>
  </si>
  <si>
    <t>Jordan Scott</t>
  </si>
  <si>
    <t>Lisa Wagner</t>
  </si>
  <si>
    <t>Cindy Nichols</t>
  </si>
  <si>
    <t>Daniel Aguirre</t>
  </si>
  <si>
    <t>Jake Johnson</t>
  </si>
  <si>
    <t>Jamie Wood</t>
  </si>
  <si>
    <t>Valerie Guerrero</t>
  </si>
  <si>
    <t>Jamie Gregory</t>
  </si>
  <si>
    <t>Taylor Griffin</t>
  </si>
  <si>
    <t>Kim Smith</t>
  </si>
  <si>
    <t>Jeremy Conway</t>
  </si>
  <si>
    <t>Johnathan Obrien</t>
  </si>
  <si>
    <t>Erik Moss</t>
  </si>
  <si>
    <t>Andrew Shannon</t>
  </si>
  <si>
    <t>Carmen Taylor</t>
  </si>
  <si>
    <t>Joseph Anderson</t>
  </si>
  <si>
    <t>Katherine Clark</t>
  </si>
  <si>
    <t>Mary Miller</t>
  </si>
  <si>
    <t>Kelli Lopez</t>
  </si>
  <si>
    <t>Denise Smith</t>
  </si>
  <si>
    <t>Alyssa Taylor</t>
  </si>
  <si>
    <t>Daniel Hamilton</t>
  </si>
  <si>
    <t>Tiffany Alexander</t>
  </si>
  <si>
    <t>Jennifer Carter</t>
  </si>
  <si>
    <t>Victor Nelson</t>
  </si>
  <si>
    <t>Kevin Price</t>
  </si>
  <si>
    <t>Jamie Wright</t>
  </si>
  <si>
    <t>Elaine Payne</t>
  </si>
  <si>
    <t>Justin Rodriguez</t>
  </si>
  <si>
    <t>Chase Taylor</t>
  </si>
  <si>
    <t>Lori Bowen</t>
  </si>
  <si>
    <t>Kyle Schwartz</t>
  </si>
  <si>
    <t>Bruce Campbell</t>
  </si>
  <si>
    <t>Elizabeth Gallagher</t>
  </si>
  <si>
    <t>Michael Garcia</t>
  </si>
  <si>
    <t>Jeff Wilson</t>
  </si>
  <si>
    <t>Bryan Navarro</t>
  </si>
  <si>
    <t>James Saunders</t>
  </si>
  <si>
    <t>Jose Henson</t>
  </si>
  <si>
    <t>Isaiah Sanders DDS</t>
  </si>
  <si>
    <t>Nancy Robinson</t>
  </si>
  <si>
    <t>Sandra Allen</t>
  </si>
  <si>
    <t>Mrs. Robin Mccarthy PhD</t>
  </si>
  <si>
    <t>Catherine Ray</t>
  </si>
  <si>
    <t>Luke Mcpherson</t>
  </si>
  <si>
    <t>Michael Moore</t>
  </si>
  <si>
    <t>Heidi Franklin</t>
  </si>
  <si>
    <t>Jacob Gonzalez</t>
  </si>
  <si>
    <t>Amber Pittman</t>
  </si>
  <si>
    <t>William Hall</t>
  </si>
  <si>
    <t>Michael Wilson</t>
  </si>
  <si>
    <t>Vanessa Gray</t>
  </si>
  <si>
    <t>Shawn Marshall</t>
  </si>
  <si>
    <t>Lisa Levy</t>
  </si>
  <si>
    <t>Annette Peterson</t>
  </si>
  <si>
    <t>Kimberly Murphy</t>
  </si>
  <si>
    <t>Rachel Allen</t>
  </si>
  <si>
    <t>Julie Wilson</t>
  </si>
  <si>
    <t>Pamela Pierce</t>
  </si>
  <si>
    <t>Debra Smith</t>
  </si>
  <si>
    <t>Thomas Gordon</t>
  </si>
  <si>
    <t>Emily Hughes</t>
  </si>
  <si>
    <t>Amy Bell</t>
  </si>
  <si>
    <t>George Bowers</t>
  </si>
  <si>
    <t>Tyler Figueroa</t>
  </si>
  <si>
    <t>Paul Ross</t>
  </si>
  <si>
    <t>Amanda Walters</t>
  </si>
  <si>
    <t>Cody Sanchez</t>
  </si>
  <si>
    <t>David Buchanan</t>
  </si>
  <si>
    <t>Kathryn Choi</t>
  </si>
  <si>
    <t>Sharon Patterson</t>
  </si>
  <si>
    <t>Linda Wilson</t>
  </si>
  <si>
    <t>Nathaniel Miller</t>
  </si>
  <si>
    <t>Anthony Lucas</t>
  </si>
  <si>
    <t>Robert Colon</t>
  </si>
  <si>
    <t>Patrick Williams</t>
  </si>
  <si>
    <t>Tiffany Hopkins</t>
  </si>
  <si>
    <t>Miguel Finley</t>
  </si>
  <si>
    <t>Albert Stevens</t>
  </si>
  <si>
    <t>Dean Barnes</t>
  </si>
  <si>
    <t>Eric York</t>
  </si>
  <si>
    <t>Joshua Booker</t>
  </si>
  <si>
    <t>Mary King</t>
  </si>
  <si>
    <t>Mr. James Johnson</t>
  </si>
  <si>
    <t>Randy Pace</t>
  </si>
  <si>
    <t>Brian Herrera</t>
  </si>
  <si>
    <t>Julie Hayden</t>
  </si>
  <si>
    <t>Mario Jackson</t>
  </si>
  <si>
    <t>Dawn Flowers</t>
  </si>
  <si>
    <t>Darrell Burns</t>
  </si>
  <si>
    <t>Dawn Nelson</t>
  </si>
  <si>
    <t>Sara Jones</t>
  </si>
  <si>
    <t>Jeffery Hurley</t>
  </si>
  <si>
    <t>Erika Schneider</t>
  </si>
  <si>
    <t>Jennifer Hartman</t>
  </si>
  <si>
    <t>Lori Rodriguez</t>
  </si>
  <si>
    <t>Mary Mcguire</t>
  </si>
  <si>
    <t>Christie Warren</t>
  </si>
  <si>
    <t>Monica Henderson</t>
  </si>
  <si>
    <t>William Harris</t>
  </si>
  <si>
    <t>Michelle Mendez</t>
  </si>
  <si>
    <t>Stuart Rodriguez</t>
  </si>
  <si>
    <t>Lori Petty</t>
  </si>
  <si>
    <t>Christina Gutierrez</t>
  </si>
  <si>
    <t>Scott Russell</t>
  </si>
  <si>
    <t>Marie Reese</t>
  </si>
  <si>
    <t>Tyler Carter</t>
  </si>
  <si>
    <t>David Burke</t>
  </si>
  <si>
    <t>Gabriel Peters</t>
  </si>
  <si>
    <t>Christine Duran</t>
  </si>
  <si>
    <t>Susan Fisher</t>
  </si>
  <si>
    <t>Jeffery Jackson</t>
  </si>
  <si>
    <t>Stephen Mitchell</t>
  </si>
  <si>
    <t>James Hines</t>
  </si>
  <si>
    <t>Gabriela Wilson</t>
  </si>
  <si>
    <t>John Butler</t>
  </si>
  <si>
    <t>Jared Villanueva</t>
  </si>
  <si>
    <t>Mary Hammond</t>
  </si>
  <si>
    <t>Carrie Martinez</t>
  </si>
  <si>
    <t>Mrs. Kimberly Woodard MD</t>
  </si>
  <si>
    <t>Harry Alexander</t>
  </si>
  <si>
    <t>David Cox</t>
  </si>
  <si>
    <t>Sheryl Gray</t>
  </si>
  <si>
    <t>Michael Bishop</t>
  </si>
  <si>
    <t>Caroline Bell</t>
  </si>
  <si>
    <t>Vanessa Shelton</t>
  </si>
  <si>
    <t>Scott White</t>
  </si>
  <si>
    <t>Richard Smith</t>
  </si>
  <si>
    <t>Michele Roman</t>
  </si>
  <si>
    <t>Kimberly Smith</t>
  </si>
  <si>
    <t>Brandon Atkinson</t>
  </si>
  <si>
    <t>Alejandro Bennett</t>
  </si>
  <si>
    <t>Patricia Williams</t>
  </si>
  <si>
    <t>Jose Sharp</t>
  </si>
  <si>
    <t>Alexander Johnson</t>
  </si>
  <si>
    <t>Abigail Rodriguez</t>
  </si>
  <si>
    <t>John Jensen</t>
  </si>
  <si>
    <t>Sean Barrett</t>
  </si>
  <si>
    <t>Jamie Gonzalez</t>
  </si>
  <si>
    <t>Joseph Thomas</t>
  </si>
  <si>
    <t>Brent Montes</t>
  </si>
  <si>
    <t>Elizabeth Dudley</t>
  </si>
  <si>
    <t>Anthony Lam</t>
  </si>
  <si>
    <t>Matthew Guerrero</t>
  </si>
  <si>
    <t>Taylor Lopez</t>
  </si>
  <si>
    <t>Karen Hayden</t>
  </si>
  <si>
    <t>Heather Anderson</t>
  </si>
  <si>
    <t>Austin Reyes</t>
  </si>
  <si>
    <t>Melissa Fisher</t>
  </si>
  <si>
    <t>Amanda Conner</t>
  </si>
  <si>
    <t>Christopher Jones</t>
  </si>
  <si>
    <t>Tyrone Juarez</t>
  </si>
  <si>
    <t>David Durham</t>
  </si>
  <si>
    <t>Ryan Cox</t>
  </si>
  <si>
    <t>Paul Walters</t>
  </si>
  <si>
    <t>Melissa Johnson</t>
  </si>
  <si>
    <t>James Anderson</t>
  </si>
  <si>
    <t>Andre Hall</t>
  </si>
  <si>
    <t>Tony Ellison</t>
  </si>
  <si>
    <t>Samuel Irwin</t>
  </si>
  <si>
    <t>Mr. Timothy Mitchell DDS</t>
  </si>
  <si>
    <t>Linda Wall</t>
  </si>
  <si>
    <t>Adam Lane</t>
  </si>
  <si>
    <t>Natasha Spencer</t>
  </si>
  <si>
    <t>Dominic Gray</t>
  </si>
  <si>
    <t>Eric Hill</t>
  </si>
  <si>
    <t>Anthony Baldwin</t>
  </si>
  <si>
    <t>Jonathon Mclaughlin</t>
  </si>
  <si>
    <t>John Anderson</t>
  </si>
  <si>
    <t>Amy Harvey</t>
  </si>
  <si>
    <t>Monica Baldwin</t>
  </si>
  <si>
    <t>Omar Martinez</t>
  </si>
  <si>
    <t>Corey Smith</t>
  </si>
  <si>
    <t>Maria Bowman</t>
  </si>
  <si>
    <t>Sandra Gill</t>
  </si>
  <si>
    <t>Marilyn Baker</t>
  </si>
  <si>
    <t>Robert Oliver</t>
  </si>
  <si>
    <t>Mary Mcmillan</t>
  </si>
  <si>
    <t>Carolyn Arnold</t>
  </si>
  <si>
    <t>Sarah Ruiz</t>
  </si>
  <si>
    <t>Bradley Hernandez</t>
  </si>
  <si>
    <t>Allen Miller</t>
  </si>
  <si>
    <t>David Clark</t>
  </si>
  <si>
    <t>Leroy Jones</t>
  </si>
  <si>
    <t>Vanessa Mendoza</t>
  </si>
  <si>
    <t>George Weaver</t>
  </si>
  <si>
    <t>Tammy Allison</t>
  </si>
  <si>
    <t>Dale Mejia</t>
  </si>
  <si>
    <t>Jacob Kelley</t>
  </si>
  <si>
    <t>Brandon Smith</t>
  </si>
  <si>
    <t>Angel Fuller</t>
  </si>
  <si>
    <t>Sonia Davis</t>
  </si>
  <si>
    <t>Terry Gomez</t>
  </si>
  <si>
    <t>Dylan Dixon</t>
  </si>
  <si>
    <t>James Newton</t>
  </si>
  <si>
    <t>Patricia Scott</t>
  </si>
  <si>
    <t>Matthew Turner</t>
  </si>
  <si>
    <t>Cameron Harris</t>
  </si>
  <si>
    <t>Jason Robertson</t>
  </si>
  <si>
    <t>Nicholas Wilson</t>
  </si>
  <si>
    <t>Catherine Jordan</t>
  </si>
  <si>
    <t>Michele Ruiz</t>
  </si>
  <si>
    <t>Joseph Oconnor</t>
  </si>
  <si>
    <t>Joseph Armstrong</t>
  </si>
  <si>
    <t>Melissa Clark</t>
  </si>
  <si>
    <t>Michelle Robertson</t>
  </si>
  <si>
    <t>Steve Adams</t>
  </si>
  <si>
    <t>Crystal Reyes</t>
  </si>
  <si>
    <t>Lindsey Hall</t>
  </si>
  <si>
    <t>Jose Allen</t>
  </si>
  <si>
    <t>Christopher Stevens</t>
  </si>
  <si>
    <t>Justin Thornton</t>
  </si>
  <si>
    <t>Jeremy Perez</t>
  </si>
  <si>
    <t>Luis Shaw</t>
  </si>
  <si>
    <t>Stephanie Jackson</t>
  </si>
  <si>
    <t>Matthew Thomas</t>
  </si>
  <si>
    <t>David Potter</t>
  </si>
  <si>
    <t>Kimberly Lang</t>
  </si>
  <si>
    <t>Mary Arias</t>
  </si>
  <si>
    <t>Jeffrey Robles</t>
  </si>
  <si>
    <t>Jay Scott</t>
  </si>
  <si>
    <t>Donna King</t>
  </si>
  <si>
    <t>Jason Hayden</t>
  </si>
  <si>
    <t>Patricia Washington</t>
  </si>
  <si>
    <t>Chelsea Owens</t>
  </si>
  <si>
    <t>Molly Choi</t>
  </si>
  <si>
    <t>Kristy Phillips</t>
  </si>
  <si>
    <t>Dr. Thomas Brown</t>
  </si>
  <si>
    <t>Paul Mccullough</t>
  </si>
  <si>
    <t>Kristi Stevens</t>
  </si>
  <si>
    <t>Christina Hayes</t>
  </si>
  <si>
    <t>Dawn Choi</t>
  </si>
  <si>
    <t>Zachary Bowen</t>
  </si>
  <si>
    <t>Bradley Riley</t>
  </si>
  <si>
    <t>Erica Garcia</t>
  </si>
  <si>
    <t>Charles Smith</t>
  </si>
  <si>
    <t>Ellen Wright</t>
  </si>
  <si>
    <t>Ryan Hess</t>
  </si>
  <si>
    <t>Megan Sullivan</t>
  </si>
  <si>
    <t>Christina Lowe</t>
  </si>
  <si>
    <t>Anthony Sanchez DVM</t>
  </si>
  <si>
    <t>Kyle Strong</t>
  </si>
  <si>
    <t>Rebecca Stone</t>
  </si>
  <si>
    <t>Stephen Wilcox</t>
  </si>
  <si>
    <t>Amber Rodriguez</t>
  </si>
  <si>
    <t>Anne Roberts</t>
  </si>
  <si>
    <t>Katie Vega</t>
  </si>
  <si>
    <t>Toni Hall</t>
  </si>
  <si>
    <t>Ryan Ramos</t>
  </si>
  <si>
    <t>Jonathan Reed</t>
  </si>
  <si>
    <t>Julie Turner</t>
  </si>
  <si>
    <t>Joseph Vargas</t>
  </si>
  <si>
    <t>Erin Cunningham</t>
  </si>
  <si>
    <t>Tara Mccoy</t>
  </si>
  <si>
    <t>Jason Greene</t>
  </si>
  <si>
    <t>Melissa Erickson</t>
  </si>
  <si>
    <t>Amanda Griffith</t>
  </si>
  <si>
    <t>Crystal Kidd</t>
  </si>
  <si>
    <t>Kristina Phillips</t>
  </si>
  <si>
    <t>Michaela Rivera</t>
  </si>
  <si>
    <t>Tammy Mcpherson</t>
  </si>
  <si>
    <t>Carrie Thomas</t>
  </si>
  <si>
    <t>Kathleen Ross</t>
  </si>
  <si>
    <t>Kimberly Montgomery</t>
  </si>
  <si>
    <t>Paul Smith</t>
  </si>
  <si>
    <t>Tamara Harding</t>
  </si>
  <si>
    <t>Patrick Rodriguez</t>
  </si>
  <si>
    <t>Sabrina Davis</t>
  </si>
  <si>
    <t>Chad Kennedy</t>
  </si>
  <si>
    <t>Denise Lindsey</t>
  </si>
  <si>
    <t>Mark Santiago</t>
  </si>
  <si>
    <t>Sara Harris</t>
  </si>
  <si>
    <t>Angela Bell</t>
  </si>
  <si>
    <t>Meghan Beck</t>
  </si>
  <si>
    <t>Laura Smith</t>
  </si>
  <si>
    <t>Amber Mason</t>
  </si>
  <si>
    <t>Michelle Smith</t>
  </si>
  <si>
    <t>Brenda Torres</t>
  </si>
  <si>
    <t>Stephen Weber</t>
  </si>
  <si>
    <t>Connie Collins</t>
  </si>
  <si>
    <t>Erin Phillips</t>
  </si>
  <si>
    <t>Shelly Russo</t>
  </si>
  <si>
    <t>Renee Burnett</t>
  </si>
  <si>
    <t>Kerry Simon</t>
  </si>
  <si>
    <t>Kelsey Hines</t>
  </si>
  <si>
    <t>Kimberly Dunlap</t>
  </si>
  <si>
    <t>David Pena</t>
  </si>
  <si>
    <t>Tiffany Richardson</t>
  </si>
  <si>
    <t>Terry Burch</t>
  </si>
  <si>
    <t>Jason Davis</t>
  </si>
  <si>
    <t>Henry Bennett</t>
  </si>
  <si>
    <t>Joseph Smith</t>
  </si>
  <si>
    <t>Jennifer Clark</t>
  </si>
  <si>
    <t>Terri Foster</t>
  </si>
  <si>
    <t>Brenda Lang</t>
  </si>
  <si>
    <t>Melissa Vega</t>
  </si>
  <si>
    <t>Heather Arias</t>
  </si>
  <si>
    <t>Ralph Newman</t>
  </si>
  <si>
    <t>Stacy Bell</t>
  </si>
  <si>
    <t>Jimmy Wade</t>
  </si>
  <si>
    <t>Brianna Phelps</t>
  </si>
  <si>
    <t>Rebecca Avery</t>
  </si>
  <si>
    <t>Anthony Blankenship</t>
  </si>
  <si>
    <t>Phillip Nelson</t>
  </si>
  <si>
    <t>Emily Martin</t>
  </si>
  <si>
    <t>Monica Blake</t>
  </si>
  <si>
    <t>Jason Warren</t>
  </si>
  <si>
    <t>Mrs. Kimberly Day MD</t>
  </si>
  <si>
    <t>Brandi Harvey</t>
  </si>
  <si>
    <t>Gregory Marshall</t>
  </si>
  <si>
    <t>Eric Bailey</t>
  </si>
  <si>
    <t>Dawn Coleman</t>
  </si>
  <si>
    <t>Jeffrey Stephens</t>
  </si>
  <si>
    <t>Brenda Mendoza</t>
  </si>
  <si>
    <t>Michael Lee</t>
  </si>
  <si>
    <t>Mrs. Theresa Wilson</t>
  </si>
  <si>
    <t>John Freeman</t>
  </si>
  <si>
    <t>Charles Nichols</t>
  </si>
  <si>
    <t>Michelle Durham</t>
  </si>
  <si>
    <t>Jeremy Garcia</t>
  </si>
  <si>
    <t>Christy Jordan</t>
  </si>
  <si>
    <t>Jill Stanton</t>
  </si>
  <si>
    <t>Angel Henry</t>
  </si>
  <si>
    <t>Brandon Martin</t>
  </si>
  <si>
    <t>Natalie Byrd</t>
  </si>
  <si>
    <t>Samuel Rivera</t>
  </si>
  <si>
    <t>Dr. Danny Mccann</t>
  </si>
  <si>
    <t>Jim Scott</t>
  </si>
  <si>
    <t>Molly Harris</t>
  </si>
  <si>
    <t>Edward Smith</t>
  </si>
  <si>
    <t>Jessica Lopez</t>
  </si>
  <si>
    <t>Carl Armstrong</t>
  </si>
  <si>
    <t>Ashley Garcia</t>
  </si>
  <si>
    <t>David Pierce</t>
  </si>
  <si>
    <t>Lisa Ramirez</t>
  </si>
  <si>
    <t>Cheryl Chambers</t>
  </si>
  <si>
    <t>Raymond Nelson</t>
  </si>
  <si>
    <t>Brian Owens</t>
  </si>
  <si>
    <t>Jacob Woods</t>
  </si>
  <si>
    <t>Howard Key</t>
  </si>
  <si>
    <t>Patrick Evans</t>
  </si>
  <si>
    <t>Kelly Rios</t>
  </si>
  <si>
    <t>Jill Buchanan</t>
  </si>
  <si>
    <t>Gregory Smith</t>
  </si>
  <si>
    <t>David Gregory</t>
  </si>
  <si>
    <t>Tammy Dixon</t>
  </si>
  <si>
    <t>Melissa Carey</t>
  </si>
  <si>
    <t>Corey Johnson</t>
  </si>
  <si>
    <t>Kevin Green</t>
  </si>
  <si>
    <t>Rebecca Padilla</t>
  </si>
  <si>
    <t>John Foster</t>
  </si>
  <si>
    <t>Christy Berry</t>
  </si>
  <si>
    <t>Manuel Ramirez</t>
  </si>
  <si>
    <t>Erik Rodriguez</t>
  </si>
  <si>
    <t>Zoe Camacho</t>
  </si>
  <si>
    <t>William Garza</t>
  </si>
  <si>
    <t>Matthew Anderson</t>
  </si>
  <si>
    <t>David Powell IV</t>
  </si>
  <si>
    <t>Kelly Sutton</t>
  </si>
  <si>
    <t>Sheri Cortez</t>
  </si>
  <si>
    <t>Stanley Baker</t>
  </si>
  <si>
    <t>James James</t>
  </si>
  <si>
    <t>Mr. Harry Allen</t>
  </si>
  <si>
    <t>Matthew Roberts</t>
  </si>
  <si>
    <t>Gary Lee</t>
  </si>
  <si>
    <t>Terri Ross</t>
  </si>
  <si>
    <t>William Davis</t>
  </si>
  <si>
    <t>Paige Hayes</t>
  </si>
  <si>
    <t>Julie Baird</t>
  </si>
  <si>
    <t>Isaac Shannon</t>
  </si>
  <si>
    <t>Daniel Lee</t>
  </si>
  <si>
    <t>Bryan Brown</t>
  </si>
  <si>
    <t>Penny Jennings</t>
  </si>
  <si>
    <t>Emily Price</t>
  </si>
  <si>
    <t>Anita Jones</t>
  </si>
  <si>
    <t>Sheila Moore</t>
  </si>
  <si>
    <t>Danielle Gomez</t>
  </si>
  <si>
    <t>Alyssa Harris</t>
  </si>
  <si>
    <t>Steve Morton</t>
  </si>
  <si>
    <t>Lauren Williams</t>
  </si>
  <si>
    <t>Matthew Hernandez</t>
  </si>
  <si>
    <t>Olivia Butler</t>
  </si>
  <si>
    <t>Carrie Clark</t>
  </si>
  <si>
    <t>Jacob Shannon</t>
  </si>
  <si>
    <t>Melanie Casey</t>
  </si>
  <si>
    <t>Lori Gray</t>
  </si>
  <si>
    <t>Ann Mcdonald</t>
  </si>
  <si>
    <t>Cynthia Vasquez</t>
  </si>
  <si>
    <t>Lawrence Smith</t>
  </si>
  <si>
    <t>Jeremy Cooper</t>
  </si>
  <si>
    <t>Matthew Bonilla</t>
  </si>
  <si>
    <t>Eric Montgomery</t>
  </si>
  <si>
    <t>Jesse Miller</t>
  </si>
  <si>
    <t>Mr. Dustin Cross</t>
  </si>
  <si>
    <t>Dr. Pamela Key</t>
  </si>
  <si>
    <t>Jennifer Ward</t>
  </si>
  <si>
    <t>Philip Henderson</t>
  </si>
  <si>
    <t>Amber Ward</t>
  </si>
  <si>
    <t>Shawn Wells</t>
  </si>
  <si>
    <t>Tracy Powers</t>
  </si>
  <si>
    <t>Susan Davis</t>
  </si>
  <si>
    <t>Michelle Wolfe</t>
  </si>
  <si>
    <t>Keith Smith</t>
  </si>
  <si>
    <t>Natasha Harris</t>
  </si>
  <si>
    <t>Dr. Shawn Miranda</t>
  </si>
  <si>
    <t>Elizabeth Kramer</t>
  </si>
  <si>
    <t>Mr. Ryan Beck</t>
  </si>
  <si>
    <t>Amy Heath</t>
  </si>
  <si>
    <t>Zachary Cox</t>
  </si>
  <si>
    <t>Nicholas Guerra</t>
  </si>
  <si>
    <t>Sarah Fletcher</t>
  </si>
  <si>
    <t>Katelyn Jacobson</t>
  </si>
  <si>
    <t>Jennifer Smith</t>
  </si>
  <si>
    <t>Daniel Duke</t>
  </si>
  <si>
    <t>Dana Payne</t>
  </si>
  <si>
    <t>Jessica Garcia</t>
  </si>
  <si>
    <t>Brent Mendoza</t>
  </si>
  <si>
    <t>Daniel Malone</t>
  </si>
  <si>
    <t>Anthony Ferguson</t>
  </si>
  <si>
    <t>Katherine Wong</t>
  </si>
  <si>
    <t>Nicole Smith</t>
  </si>
  <si>
    <t>Sarah Thomas</t>
  </si>
  <si>
    <t>Mckenzie Moore</t>
  </si>
  <si>
    <t>Jaclyn Collins</t>
  </si>
  <si>
    <t>Jay Atkinson</t>
  </si>
  <si>
    <t>Whitney Chambers</t>
  </si>
  <si>
    <t>Christine Hooper</t>
  </si>
  <si>
    <t>Vicki Taylor</t>
  </si>
  <si>
    <t>Chelsea Hill</t>
  </si>
  <si>
    <t>Ruth Randall</t>
  </si>
  <si>
    <t>Patricia Lee</t>
  </si>
  <si>
    <t>Laura Montgomery</t>
  </si>
  <si>
    <t>Tiffany Jordan</t>
  </si>
  <si>
    <t>Richard Pearson</t>
  </si>
  <si>
    <t>John Rogers</t>
  </si>
  <si>
    <t>Christina Henry</t>
  </si>
  <si>
    <t>Bradley Parker</t>
  </si>
  <si>
    <t>Peter Hardy</t>
  </si>
  <si>
    <t>Kimberly Moses</t>
  </si>
  <si>
    <t>Courtney Lopez</t>
  </si>
  <si>
    <t>Megan Woods</t>
  </si>
  <si>
    <t>Matthew Cole</t>
  </si>
  <si>
    <t>Jose Powell</t>
  </si>
  <si>
    <t>Tammy Schneider</t>
  </si>
  <si>
    <t>Rachel Spencer</t>
  </si>
  <si>
    <t>Joseph Murillo</t>
  </si>
  <si>
    <t>Richard Martin</t>
  </si>
  <si>
    <t>Christopher Taylor</t>
  </si>
  <si>
    <t>Stephanie Rodriguez</t>
  </si>
  <si>
    <t>Ronald Miller</t>
  </si>
  <si>
    <t>Jeanette Mcbride</t>
  </si>
  <si>
    <t>Christopher Krause</t>
  </si>
  <si>
    <t>Ryan Vazquez</t>
  </si>
  <si>
    <t>Justin Turner</t>
  </si>
  <si>
    <t>Joshua Murphy</t>
  </si>
  <si>
    <t>Raymond Smith</t>
  </si>
  <si>
    <t>Logan Peterson</t>
  </si>
  <si>
    <t>Tina Ramos</t>
  </si>
  <si>
    <t>Mary Armstrong</t>
  </si>
  <si>
    <t>Kevin Bates</t>
  </si>
  <si>
    <t>Kevin Pearson</t>
  </si>
  <si>
    <t>Carmen Hurley</t>
  </si>
  <si>
    <t>Ruth Osborne</t>
  </si>
  <si>
    <t>Debra Knox</t>
  </si>
  <si>
    <t>Stacy Rogers</t>
  </si>
  <si>
    <t>Alex Stuart</t>
  </si>
  <si>
    <t>Paula Moreno</t>
  </si>
  <si>
    <t>Matthew Rowe</t>
  </si>
  <si>
    <t>John Jordan</t>
  </si>
  <si>
    <t>Edgar Herrera MD</t>
  </si>
  <si>
    <t>Andres Barnett</t>
  </si>
  <si>
    <t>Nicholas Edwards</t>
  </si>
  <si>
    <t>Bryce Anderson</t>
  </si>
  <si>
    <t>Kimberly Ross</t>
  </si>
  <si>
    <t>Crystal Espinoza</t>
  </si>
  <si>
    <t>Emily Anderson</t>
  </si>
  <si>
    <t>Stephen Ponce</t>
  </si>
  <si>
    <t>Melissa Bradley</t>
  </si>
  <si>
    <t>Danielle Brown</t>
  </si>
  <si>
    <t>Hannah Hickman</t>
  </si>
  <si>
    <t>Shannon Meyer</t>
  </si>
  <si>
    <t>Amy Johnston</t>
  </si>
  <si>
    <t>Pamela Reeves</t>
  </si>
  <si>
    <t>Michael Sanchez</t>
  </si>
  <si>
    <t>Shawn Scott</t>
  </si>
  <si>
    <t>TotalSalary</t>
  </si>
  <si>
    <t># TotalEmployees</t>
  </si>
  <si>
    <t>AvgSalary</t>
  </si>
  <si>
    <t>What is the number of active employees?</t>
  </si>
  <si>
    <t>Row Labels</t>
  </si>
  <si>
    <t>Grand Total</t>
  </si>
  <si>
    <t>Max of WorkDuration</t>
  </si>
  <si>
    <t>5</t>
  </si>
  <si>
    <t>Who are the oldest 10 employees in company in terms of joining date and performance score equal 5?</t>
  </si>
  <si>
    <t>How many employees greater than 50 years?</t>
  </si>
  <si>
    <t>Employee&gt;50</t>
  </si>
  <si>
    <t>FeEmployee</t>
  </si>
  <si>
    <t>Count of Name</t>
  </si>
  <si>
    <t>How many employees for each branch?</t>
  </si>
  <si>
    <t>How many employees per department?</t>
  </si>
  <si>
    <t>How many employees per session?</t>
  </si>
  <si>
    <t>What is the employees’ salary costs?</t>
  </si>
  <si>
    <t>What is the highest department costs salary?</t>
  </si>
  <si>
    <t>Which is the highest branch costs salary?</t>
  </si>
  <si>
    <t>Who are the employees work in sales department have performance score equal 5 and his salary greater than 8000 $?</t>
  </si>
  <si>
    <t>(Multiple Items)</t>
  </si>
  <si>
    <t xml:space="preserve">Who are the employees work in sales department have performance score less than 2 and his salary greater than 8000 $? </t>
  </si>
  <si>
    <t>Column Labels</t>
  </si>
  <si>
    <t>How many females work in the company and their age less than 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</si>
</sst>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0;\(\$#,##0\);\$#,##0"/>
    <numFmt numFmtId="165" formatCode="_(&quot;$&quot;* #,##0_);_(&quot;$&quot;* \(#,##0\);_(&quot;$&quot;* &quot;-&quot;??_);_(@_)"/>
  </numFmts>
  <fonts count="2" x14ac:knownFonts="1">
    <font>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8">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2" borderId="0" xfId="0" applyFill="1"/>
    <xf numFmtId="165" fontId="0" fillId="0" borderId="0" xfId="1" applyNumberFormat="1" applyFont="1"/>
    <xf numFmtId="0" fontId="0" fillId="0" borderId="0" xfId="0" applyNumberFormat="1"/>
  </cellXfs>
  <cellStyles count="2">
    <cellStyle name="Currency" xfId="1" builtinId="4"/>
    <cellStyle name="Normal" xfId="0" builtinId="0"/>
  </cellStyles>
  <dxfs count="6">
    <dxf>
      <numFmt numFmtId="0" formatCode="General"/>
    </dxf>
    <dxf>
      <numFmt numFmtId="0" formatCode="General"/>
    </dxf>
    <dxf>
      <numFmt numFmtId="19" formatCode="yyyy/mm/dd"/>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openxmlformats.org/officeDocument/2006/relationships/pivotCacheDefinition" Target="pivotCache/pivotCacheDefinition15.xml"/><Relationship Id="rId26" Type="http://schemas.openxmlformats.org/officeDocument/2006/relationships/styles" Target="styles.xml"/><Relationship Id="rId39" Type="http://schemas.openxmlformats.org/officeDocument/2006/relationships/customXml" Target="../customXml/item9.xml"/><Relationship Id="rId21" Type="http://schemas.microsoft.com/office/2007/relationships/slicerCache" Target="slicerCaches/slicerCache2.xml"/><Relationship Id="rId34" Type="http://schemas.openxmlformats.org/officeDocument/2006/relationships/customXml" Target="../customXml/item4.xml"/><Relationship Id="rId42" Type="http://schemas.openxmlformats.org/officeDocument/2006/relationships/customXml" Target="../customXml/item12.xml"/><Relationship Id="rId47" Type="http://schemas.openxmlformats.org/officeDocument/2006/relationships/customXml" Target="../customXml/item17.xml"/><Relationship Id="rId50" Type="http://schemas.openxmlformats.org/officeDocument/2006/relationships/customXml" Target="../customXml/item20.xml"/><Relationship Id="rId55" Type="http://schemas.openxmlformats.org/officeDocument/2006/relationships/customXml" Target="../customXml/item25.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9" Type="http://schemas.openxmlformats.org/officeDocument/2006/relationships/powerPivotData" Target="model/item.data"/><Relationship Id="rId11" Type="http://schemas.openxmlformats.org/officeDocument/2006/relationships/pivotCacheDefinition" Target="pivotCache/pivotCacheDefinition8.xml"/><Relationship Id="rId24" Type="http://schemas.openxmlformats.org/officeDocument/2006/relationships/theme" Target="theme/theme1.xml"/><Relationship Id="rId32" Type="http://schemas.openxmlformats.org/officeDocument/2006/relationships/customXml" Target="../customXml/item2.xml"/><Relationship Id="rId37" Type="http://schemas.openxmlformats.org/officeDocument/2006/relationships/customXml" Target="../customXml/item7.xml"/><Relationship Id="rId40" Type="http://schemas.openxmlformats.org/officeDocument/2006/relationships/customXml" Target="../customXml/item10.xml"/><Relationship Id="rId45" Type="http://schemas.openxmlformats.org/officeDocument/2006/relationships/customXml" Target="../customXml/item15.xml"/><Relationship Id="rId53" Type="http://schemas.openxmlformats.org/officeDocument/2006/relationships/customXml" Target="../customXml/item23.xml"/><Relationship Id="rId58" Type="http://schemas.openxmlformats.org/officeDocument/2006/relationships/customXml" Target="../customXml/item28.xml"/><Relationship Id="rId5" Type="http://schemas.openxmlformats.org/officeDocument/2006/relationships/pivotCacheDefinition" Target="pivotCache/pivotCacheDefinition2.xml"/><Relationship Id="rId19" Type="http://schemas.openxmlformats.org/officeDocument/2006/relationships/pivotCacheDefinition" Target="pivotCache/pivotCacheDefinition16.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microsoft.com/office/2007/relationships/slicerCache" Target="slicerCaches/slicerCache3.xml"/><Relationship Id="rId27" Type="http://schemas.openxmlformats.org/officeDocument/2006/relationships/sharedStrings" Target="sharedStrings.xml"/><Relationship Id="rId30" Type="http://schemas.openxmlformats.org/officeDocument/2006/relationships/calcChain" Target="calcChain.xml"/><Relationship Id="rId35" Type="http://schemas.openxmlformats.org/officeDocument/2006/relationships/customXml" Target="../customXml/item5.xml"/><Relationship Id="rId43" Type="http://schemas.openxmlformats.org/officeDocument/2006/relationships/customXml" Target="../customXml/item13.xml"/><Relationship Id="rId48" Type="http://schemas.openxmlformats.org/officeDocument/2006/relationships/customXml" Target="../customXml/item18.xml"/><Relationship Id="rId56" Type="http://schemas.openxmlformats.org/officeDocument/2006/relationships/customXml" Target="../customXml/item26.xml"/><Relationship Id="rId8" Type="http://schemas.openxmlformats.org/officeDocument/2006/relationships/pivotCacheDefinition" Target="pivotCache/pivotCacheDefinition5.xml"/><Relationship Id="rId51" Type="http://schemas.openxmlformats.org/officeDocument/2006/relationships/customXml" Target="../customXml/item21.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openxmlformats.org/officeDocument/2006/relationships/pivotCacheDefinition" Target="pivotCache/pivotCacheDefinition14.xml"/><Relationship Id="rId25" Type="http://schemas.openxmlformats.org/officeDocument/2006/relationships/connections" Target="connections.xml"/><Relationship Id="rId33" Type="http://schemas.openxmlformats.org/officeDocument/2006/relationships/customXml" Target="../customXml/item3.xml"/><Relationship Id="rId38" Type="http://schemas.openxmlformats.org/officeDocument/2006/relationships/customXml" Target="../customXml/item8.xml"/><Relationship Id="rId46" Type="http://schemas.openxmlformats.org/officeDocument/2006/relationships/customXml" Target="../customXml/item16.xml"/><Relationship Id="rId59" Type="http://schemas.openxmlformats.org/officeDocument/2006/relationships/customXml" Target="../customXml/item29.xml"/><Relationship Id="rId20" Type="http://schemas.microsoft.com/office/2007/relationships/slicerCache" Target="slicerCaches/slicerCache1.xml"/><Relationship Id="rId41" Type="http://schemas.openxmlformats.org/officeDocument/2006/relationships/customXml" Target="../customXml/item11.xml"/><Relationship Id="rId54" Type="http://schemas.openxmlformats.org/officeDocument/2006/relationships/customXml" Target="../customXml/item24.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5" Type="http://schemas.openxmlformats.org/officeDocument/2006/relationships/pivotCacheDefinition" Target="pivotCache/pivotCacheDefinition12.xml"/><Relationship Id="rId23" Type="http://schemas.microsoft.com/office/2007/relationships/slicerCache" Target="slicerCaches/slicerCache4.xml"/><Relationship Id="rId28" Type="http://schemas.openxmlformats.org/officeDocument/2006/relationships/sheetMetadata" Target="metadata.xml"/><Relationship Id="rId36" Type="http://schemas.openxmlformats.org/officeDocument/2006/relationships/customXml" Target="../customXml/item6.xml"/><Relationship Id="rId49" Type="http://schemas.openxmlformats.org/officeDocument/2006/relationships/customXml" Target="../customXml/item19.xml"/><Relationship Id="rId57" Type="http://schemas.openxmlformats.org/officeDocument/2006/relationships/customXml" Target="../customXml/item27.xml"/><Relationship Id="rId10" Type="http://schemas.openxmlformats.org/officeDocument/2006/relationships/pivotCacheDefinition" Target="pivotCache/pivotCacheDefinition7.xml"/><Relationship Id="rId31" Type="http://schemas.openxmlformats.org/officeDocument/2006/relationships/customXml" Target="../customXml/item1.xml"/><Relationship Id="rId44" Type="http://schemas.openxmlformats.org/officeDocument/2006/relationships/customXml" Target="../customXml/item14.xml"/><Relationship Id="rId52" Type="http://schemas.openxmlformats.org/officeDocument/2006/relationships/customXml" Target="../customXml/item2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Board Employe Performance.xlsx]Calculation!SalaryByDepartment-Location</c:name>
    <c:fmtId val="0"/>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solidFill>
                  <a:schemeClr val="tx1"/>
                </a:solidFill>
              </a:rPr>
              <a:t>Salary By Branch Per Department</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Calculation!$BS$5:$BS$6</c:f>
              <c:strCache>
                <c:ptCount val="1"/>
                <c:pt idx="0">
                  <c:v>IT</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cat>
            <c:strRef>
              <c:f>Calculation!$BR$7:$BR$10</c:f>
              <c:strCache>
                <c:ptCount val="3"/>
                <c:pt idx="0">
                  <c:v>Los Angeles</c:v>
                </c:pt>
                <c:pt idx="1">
                  <c:v>New York</c:v>
                </c:pt>
                <c:pt idx="2">
                  <c:v>Chicago</c:v>
                </c:pt>
              </c:strCache>
            </c:strRef>
          </c:cat>
          <c:val>
            <c:numRef>
              <c:f>Calculation!$BS$7:$BS$10</c:f>
              <c:numCache>
                <c:formatCode>\$#,##0;\(\$#,##0\);\$#,##0</c:formatCode>
                <c:ptCount val="3"/>
                <c:pt idx="0">
                  <c:v>372938</c:v>
                </c:pt>
                <c:pt idx="1">
                  <c:v>359409</c:v>
                </c:pt>
                <c:pt idx="2">
                  <c:v>280122</c:v>
                </c:pt>
              </c:numCache>
            </c:numRef>
          </c:val>
          <c:extLst>
            <c:ext xmlns:c16="http://schemas.microsoft.com/office/drawing/2014/chart" uri="{C3380CC4-5D6E-409C-BE32-E72D297353CC}">
              <c16:uniqueId val="{00000000-F50D-4D84-A23E-232B5918C185}"/>
            </c:ext>
          </c:extLst>
        </c:ser>
        <c:ser>
          <c:idx val="1"/>
          <c:order val="1"/>
          <c:tx>
            <c:strRef>
              <c:f>Calculation!$BT$5:$BT$6</c:f>
              <c:strCache>
                <c:ptCount val="1"/>
                <c:pt idx="0">
                  <c:v>Sales</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cat>
            <c:strRef>
              <c:f>Calculation!$BR$7:$BR$10</c:f>
              <c:strCache>
                <c:ptCount val="3"/>
                <c:pt idx="0">
                  <c:v>Los Angeles</c:v>
                </c:pt>
                <c:pt idx="1">
                  <c:v>New York</c:v>
                </c:pt>
                <c:pt idx="2">
                  <c:v>Chicago</c:v>
                </c:pt>
              </c:strCache>
            </c:strRef>
          </c:cat>
          <c:val>
            <c:numRef>
              <c:f>Calculation!$BT$7:$BT$10</c:f>
              <c:numCache>
                <c:formatCode>\$#,##0;\(\$#,##0\);\$#,##0</c:formatCode>
                <c:ptCount val="3"/>
                <c:pt idx="0">
                  <c:v>319157</c:v>
                </c:pt>
                <c:pt idx="1">
                  <c:v>328987</c:v>
                </c:pt>
                <c:pt idx="2">
                  <c:v>343562</c:v>
                </c:pt>
              </c:numCache>
            </c:numRef>
          </c:val>
          <c:extLst>
            <c:ext xmlns:c16="http://schemas.microsoft.com/office/drawing/2014/chart" uri="{C3380CC4-5D6E-409C-BE32-E72D297353CC}">
              <c16:uniqueId val="{00000000-D5EE-485A-B279-6364C29B2E0E}"/>
            </c:ext>
          </c:extLst>
        </c:ser>
        <c:ser>
          <c:idx val="2"/>
          <c:order val="2"/>
          <c:tx>
            <c:strRef>
              <c:f>Calculation!$BU$5:$BU$6</c:f>
              <c:strCache>
                <c:ptCount val="1"/>
                <c:pt idx="0">
                  <c:v>HR</c:v>
                </c:pt>
              </c:strCache>
            </c:strRef>
          </c:tx>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invertIfNegative val="0"/>
          <c:cat>
            <c:strRef>
              <c:f>Calculation!$BR$7:$BR$10</c:f>
              <c:strCache>
                <c:ptCount val="3"/>
                <c:pt idx="0">
                  <c:v>Los Angeles</c:v>
                </c:pt>
                <c:pt idx="1">
                  <c:v>New York</c:v>
                </c:pt>
                <c:pt idx="2">
                  <c:v>Chicago</c:v>
                </c:pt>
              </c:strCache>
            </c:strRef>
          </c:cat>
          <c:val>
            <c:numRef>
              <c:f>Calculation!$BU$7:$BU$10</c:f>
              <c:numCache>
                <c:formatCode>\$#,##0;\(\$#,##0\);\$#,##0</c:formatCode>
                <c:ptCount val="3"/>
                <c:pt idx="0">
                  <c:v>356796</c:v>
                </c:pt>
                <c:pt idx="1">
                  <c:v>267017</c:v>
                </c:pt>
                <c:pt idx="2">
                  <c:v>307610</c:v>
                </c:pt>
              </c:numCache>
            </c:numRef>
          </c:val>
          <c:extLst>
            <c:ext xmlns:c16="http://schemas.microsoft.com/office/drawing/2014/chart" uri="{C3380CC4-5D6E-409C-BE32-E72D297353CC}">
              <c16:uniqueId val="{00000001-D5EE-485A-B279-6364C29B2E0E}"/>
            </c:ext>
          </c:extLst>
        </c:ser>
        <c:dLbls>
          <c:showLegendKey val="0"/>
          <c:showVal val="0"/>
          <c:showCatName val="0"/>
          <c:showSerName val="0"/>
          <c:showPercent val="0"/>
          <c:showBubbleSize val="0"/>
        </c:dLbls>
        <c:gapWidth val="100"/>
        <c:overlap val="-24"/>
        <c:axId val="915341839"/>
        <c:axId val="915343279"/>
      </c:barChart>
      <c:catAx>
        <c:axId val="915341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915343279"/>
        <c:crosses val="autoZero"/>
        <c:auto val="1"/>
        <c:lblAlgn val="ctr"/>
        <c:lblOffset val="100"/>
        <c:noMultiLvlLbl val="0"/>
      </c:catAx>
      <c:valAx>
        <c:axId val="915343279"/>
        <c:scaling>
          <c:orientation val="minMax"/>
          <c:min val="250000"/>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915341839"/>
        <c:crosses val="autoZero"/>
        <c:crossBetween val="between"/>
        <c:dispUnits>
          <c:builtInUnit val="thousands"/>
          <c:dispUnitsLbl>
            <c:spPr>
              <a:noFill/>
              <a:ln>
                <a:noFill/>
              </a:ln>
              <a:effectLst/>
            </c:spPr>
            <c:txPr>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Board Employe Performance.xlsx]Calculation!SalaryByBranch</c:name>
    <c:fmtId val="22"/>
  </c:pivotSource>
  <c:chart>
    <c:title>
      <c:tx>
        <c:rich>
          <a:bodyPr rot="0" spcFirstLastPara="1" vertOverflow="ellipsis" vert="horz" wrap="square" anchor="ctr" anchorCtr="1"/>
          <a:lstStyle/>
          <a:p>
            <a:pPr algn="ctr" rtl="0">
              <a:defRPr lang="en-US" sz="1400" b="0" i="0" u="none" strike="noStrike" kern="1200" cap="none" spc="20" baseline="0">
                <a:solidFill>
                  <a:schemeClr val="tx1"/>
                </a:solidFill>
                <a:latin typeface="+mn-lt"/>
                <a:ea typeface="+mn-ea"/>
                <a:cs typeface="+mn-cs"/>
              </a:defRPr>
            </a:pPr>
            <a:r>
              <a:rPr lang="en-US" sz="1800" b="0" i="0" u="none" strike="noStrike" kern="1200" cap="none" spc="20" baseline="0">
                <a:solidFill>
                  <a:schemeClr val="tx1"/>
                </a:solidFill>
                <a:latin typeface="+mn-lt"/>
                <a:ea typeface="+mn-ea"/>
                <a:cs typeface="+mn-cs"/>
              </a:rPr>
              <a:t>Salary By Branch</a:t>
            </a:r>
          </a:p>
        </c:rich>
      </c:tx>
      <c:overlay val="0"/>
      <c:spPr>
        <a:noFill/>
        <a:ln>
          <a:noFill/>
        </a:ln>
        <a:effectLst/>
      </c:spPr>
      <c:txPr>
        <a:bodyPr rot="0" spcFirstLastPara="1" vertOverflow="ellipsis" vert="horz" wrap="square" anchor="ctr" anchorCtr="1"/>
        <a:lstStyle/>
        <a:p>
          <a:pPr algn="ctr" rtl="0">
            <a:defRPr lang="en-US" sz="1400" b="0" i="0" u="none" strike="noStrike" kern="1200" cap="none" spc="20" baseline="0">
              <a:solidFill>
                <a:schemeClr val="tx1"/>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dLbl>
          <c:idx val="0"/>
          <c:layout>
            <c:manualLayout>
              <c:x val="-0.3444444444444445"/>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dLbl>
          <c:idx val="0"/>
          <c:layout>
            <c:manualLayout>
              <c:x val="8.7777777777777247E-3"/>
              <c:y val="-0.24533555701370668"/>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65000"/>
                        <a:lumOff val="35000"/>
                      </a:schemeClr>
                    </a:solidFill>
                    <a:latin typeface="+mn-lt"/>
                    <a:ea typeface="+mn-ea"/>
                    <a:cs typeface="+mn-cs"/>
                  </a:defRPr>
                </a:pPr>
                <a:fld id="{6DF72688-FAAB-49B4-949E-18F5B24234F5}" type="VALUE">
                  <a:rPr lang="en-US" sz="1800" b="1">
                    <a:solidFill>
                      <a:schemeClr val="tx1"/>
                    </a:solidFill>
                  </a:rPr>
                  <a:pPr>
                    <a:defRPr sz="900" b="0" i="0" u="none" strike="noStrike" kern="1200" baseline="0">
                      <a:solidFill>
                        <a:schemeClr val="tx1">
                          <a:lumMod val="65000"/>
                          <a:lumOff val="3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
                  <c:h val="0.16666666666666666"/>
                </c:manualLayout>
              </c15:layout>
              <c15:dlblFieldTable/>
              <c15:showDataLabelsRange val="0"/>
            </c:ext>
          </c:extLst>
        </c:dLbl>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0.33611111111111114"/>
              <c:y val="-0.1342592592592592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8.7777777777777247E-3"/>
              <c:y val="-0.24533555701370668"/>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65000"/>
                        <a:lumOff val="35000"/>
                      </a:schemeClr>
                    </a:solidFill>
                    <a:latin typeface="+mn-lt"/>
                    <a:ea typeface="+mn-ea"/>
                    <a:cs typeface="+mn-cs"/>
                  </a:defRPr>
                </a:pPr>
                <a:fld id="{6DF72688-FAAB-49B4-949E-18F5B24234F5}" type="VALUE">
                  <a:rPr lang="en-US" sz="1800" b="1">
                    <a:solidFill>
                      <a:schemeClr val="tx1"/>
                    </a:solidFill>
                  </a:rPr>
                  <a:pPr>
                    <a:defRPr sz="900" b="0" i="0" u="none" strike="noStrike" kern="1200" baseline="0">
                      <a:solidFill>
                        <a:schemeClr val="tx1">
                          <a:lumMod val="65000"/>
                          <a:lumOff val="3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
                  <c:h val="0.16666666666666666"/>
                </c:manualLayout>
              </c15:layout>
              <c15:dlblFieldTable/>
              <c15:showDataLabelsRange val="0"/>
            </c:ext>
          </c:extLst>
        </c:dLbl>
      </c:pivotFmt>
      <c:pivotFmt>
        <c:idx val="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8.7777777777777247E-3"/>
              <c:y val="-0.24533555701370668"/>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65000"/>
                        <a:lumOff val="35000"/>
                      </a:schemeClr>
                    </a:solidFill>
                    <a:latin typeface="+mn-lt"/>
                    <a:ea typeface="+mn-ea"/>
                    <a:cs typeface="+mn-cs"/>
                  </a:defRPr>
                </a:pPr>
                <a:fld id="{6DF72688-FAAB-49B4-949E-18F5B24234F5}" type="VALUE">
                  <a:rPr lang="en-US" sz="1800" b="1">
                    <a:solidFill>
                      <a:schemeClr val="tx1"/>
                    </a:solidFill>
                  </a:rPr>
                  <a:pPr>
                    <a:defRPr sz="900" b="0" i="0" u="none" strike="noStrike" kern="1200" baseline="0">
                      <a:solidFill>
                        <a:schemeClr val="tx1">
                          <a:lumMod val="65000"/>
                          <a:lumOff val="3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
                  <c:h val="0.16666666666666666"/>
                </c:manualLayout>
              </c15:layout>
              <c15:dlblFieldTable/>
              <c15:showDataLabelsRange val="0"/>
            </c:ext>
          </c:extLst>
        </c:dLbl>
      </c:pivotFmt>
      <c:pivotFmt>
        <c:idx val="1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8.7777777777777247E-3"/>
              <c:y val="-0.24533555701370668"/>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65000"/>
                        <a:lumOff val="35000"/>
                      </a:schemeClr>
                    </a:solidFill>
                    <a:latin typeface="+mn-lt"/>
                    <a:ea typeface="+mn-ea"/>
                    <a:cs typeface="+mn-cs"/>
                  </a:defRPr>
                </a:pPr>
                <a:fld id="{6DF72688-FAAB-49B4-949E-18F5B24234F5}" type="VALUE">
                  <a:rPr lang="en-US" sz="1800" b="1">
                    <a:solidFill>
                      <a:schemeClr val="tx1"/>
                    </a:solidFill>
                  </a:rPr>
                  <a:pPr>
                    <a:defRPr sz="900" b="0" i="0" u="none" strike="noStrike" kern="1200" baseline="0">
                      <a:solidFill>
                        <a:schemeClr val="tx1">
                          <a:lumMod val="65000"/>
                          <a:lumOff val="3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
                  <c:h val="0.16666666666666666"/>
                </c:manualLayout>
              </c15:layout>
              <c15:dlblFieldTable/>
              <c15:showDataLabelsRange val="0"/>
            </c:ext>
          </c:extLst>
        </c:dLbl>
      </c:pivotFmt>
      <c:pivotFmt>
        <c:idx val="1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8.7777777777777247E-3"/>
              <c:y val="-0.24533555701370668"/>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65000"/>
                        <a:lumOff val="35000"/>
                      </a:schemeClr>
                    </a:solidFill>
                    <a:latin typeface="+mn-lt"/>
                    <a:ea typeface="+mn-ea"/>
                    <a:cs typeface="+mn-cs"/>
                  </a:defRPr>
                </a:pPr>
                <a:fld id="{6DF72688-FAAB-49B4-949E-18F5B24234F5}" type="VALUE">
                  <a:rPr lang="en-US" sz="1800" b="1">
                    <a:solidFill>
                      <a:schemeClr val="tx1"/>
                    </a:solidFill>
                  </a:rPr>
                  <a:pPr>
                    <a:defRPr sz="900" b="0" i="0" u="none" strike="noStrike" kern="1200" baseline="0">
                      <a:solidFill>
                        <a:schemeClr val="tx1">
                          <a:lumMod val="65000"/>
                          <a:lumOff val="3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
                  <c:h val="0.16666666666666666"/>
                </c:manualLayout>
              </c15:layout>
              <c15:dlblFieldTable/>
              <c15:showDataLabelsRange val="0"/>
            </c:ext>
          </c:extLst>
        </c:dLbl>
      </c:pivotFmt>
      <c:pivotFmt>
        <c:idx val="1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s>
    <c:plotArea>
      <c:layout/>
      <c:pieChart>
        <c:varyColors val="1"/>
        <c:ser>
          <c:idx val="0"/>
          <c:order val="0"/>
          <c:tx>
            <c:strRef>
              <c:f>Calculation!$CD$5</c:f>
              <c:strCache>
                <c:ptCount val="1"/>
                <c:pt idx="0">
                  <c:v>Total</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01-DCF5-48D4-B6A5-3A38F7B8605E}"/>
              </c:ext>
            </c:extLst>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c:ext xmlns:c16="http://schemas.microsoft.com/office/drawing/2014/chart" uri="{C3380CC4-5D6E-409C-BE32-E72D297353CC}">
                <c16:uniqueId val="{00000003-DCF5-48D4-B6A5-3A38F7B8605E}"/>
              </c:ext>
            </c:extLst>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extLst>
              <c:ext xmlns:c16="http://schemas.microsoft.com/office/drawing/2014/chart" uri="{C3380CC4-5D6E-409C-BE32-E72D297353CC}">
                <c16:uniqueId val="{00000005-DCF5-48D4-B6A5-3A38F7B8605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Calculation!$CC$6:$CC$9</c:f>
              <c:strCache>
                <c:ptCount val="3"/>
                <c:pt idx="0">
                  <c:v>Los Angeles</c:v>
                </c:pt>
                <c:pt idx="1">
                  <c:v>New York</c:v>
                </c:pt>
                <c:pt idx="2">
                  <c:v>Chicago</c:v>
                </c:pt>
              </c:strCache>
            </c:strRef>
          </c:cat>
          <c:val>
            <c:numRef>
              <c:f>Calculation!$CD$6:$CD$9</c:f>
              <c:numCache>
                <c:formatCode>\$#,##0;\(\$#,##0\);\$#,##0</c:formatCode>
                <c:ptCount val="3"/>
                <c:pt idx="0">
                  <c:v>1048891</c:v>
                </c:pt>
                <c:pt idx="1">
                  <c:v>955413</c:v>
                </c:pt>
                <c:pt idx="2">
                  <c:v>931294</c:v>
                </c:pt>
              </c:numCache>
            </c:numRef>
          </c:val>
          <c:extLst>
            <c:ext xmlns:c16="http://schemas.microsoft.com/office/drawing/2014/chart" uri="{C3380CC4-5D6E-409C-BE32-E72D297353CC}">
              <c16:uniqueId val="{00000006-DCF5-48D4-B6A5-3A38F7B8605E}"/>
            </c:ext>
          </c:extLst>
        </c:ser>
        <c:dLbls>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Board Employe Performance.xlsx]Calculation!CountEmployeesPerSesion</c:name>
    <c:fmtId val="0"/>
  </c:pivotSource>
  <c:chart>
    <c:title>
      <c:tx>
        <c:rich>
          <a:bodyPr rot="0" spcFirstLastPara="1" vertOverflow="ellipsis" vert="horz" wrap="square" anchor="ctr" anchorCtr="1"/>
          <a:lstStyle/>
          <a:p>
            <a:pPr>
              <a:defRPr lang="en-US" sz="1800" b="0" i="0" u="none" strike="noStrike" kern="1200" cap="none" spc="20" baseline="0">
                <a:solidFill>
                  <a:schemeClr val="tx1"/>
                </a:solidFill>
                <a:latin typeface="+mn-lt"/>
                <a:ea typeface="+mn-ea"/>
                <a:cs typeface="+mn-cs"/>
              </a:defRPr>
            </a:pPr>
            <a:r>
              <a:rPr lang="en-US" sz="1800" b="0" i="0" u="none" strike="noStrike" kern="1200" cap="none" spc="20" baseline="0">
                <a:solidFill>
                  <a:schemeClr val="tx1"/>
                </a:solidFill>
                <a:latin typeface="+mn-lt"/>
                <a:ea typeface="+mn-ea"/>
                <a:cs typeface="+mn-cs"/>
              </a:rPr>
              <a:t>Count Employees Per Gender</a:t>
            </a:r>
          </a:p>
        </c:rich>
      </c:tx>
      <c:overlay val="0"/>
      <c:spPr>
        <a:noFill/>
        <a:ln>
          <a:noFill/>
        </a:ln>
        <a:effectLst/>
      </c:sp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Calculation!$CN$5</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Calculation!$CM$6:$CM$9</c:f>
              <c:strCache>
                <c:ptCount val="3"/>
                <c:pt idx="0">
                  <c:v>Morning</c:v>
                </c:pt>
                <c:pt idx="1">
                  <c:v>Night</c:v>
                </c:pt>
                <c:pt idx="2">
                  <c:v>Evening</c:v>
                </c:pt>
              </c:strCache>
            </c:strRef>
          </c:cat>
          <c:val>
            <c:numRef>
              <c:f>Calculation!$CN$6:$CN$9</c:f>
              <c:numCache>
                <c:formatCode>General</c:formatCode>
                <c:ptCount val="3"/>
                <c:pt idx="0">
                  <c:v>159</c:v>
                </c:pt>
                <c:pt idx="1">
                  <c:v>168</c:v>
                </c:pt>
                <c:pt idx="2">
                  <c:v>174</c:v>
                </c:pt>
              </c:numCache>
            </c:numRef>
          </c:val>
          <c:extLst>
            <c:ext xmlns:c16="http://schemas.microsoft.com/office/drawing/2014/chart" uri="{C3380CC4-5D6E-409C-BE32-E72D297353CC}">
              <c16:uniqueId val="{00000003-135C-4A6E-8A83-D23ABB6E02CD}"/>
            </c:ext>
          </c:extLst>
        </c:ser>
        <c:dLbls>
          <c:dLblPos val="outEnd"/>
          <c:showLegendKey val="0"/>
          <c:showVal val="1"/>
          <c:showCatName val="0"/>
          <c:showSerName val="0"/>
          <c:showPercent val="0"/>
          <c:showBubbleSize val="0"/>
        </c:dLbls>
        <c:gapWidth val="100"/>
        <c:axId val="1689530448"/>
        <c:axId val="1689524208"/>
      </c:barChart>
      <c:catAx>
        <c:axId val="1689530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689524208"/>
        <c:crosses val="autoZero"/>
        <c:auto val="1"/>
        <c:lblAlgn val="ctr"/>
        <c:lblOffset val="100"/>
        <c:noMultiLvlLbl val="0"/>
      </c:catAx>
      <c:valAx>
        <c:axId val="1689524208"/>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689530448"/>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Board Employe Performance.xlsx]Calculation!CountByGender</c:name>
    <c:fmtId val="2"/>
  </c:pivotSource>
  <c:chart>
    <c:title>
      <c:tx>
        <c:rich>
          <a:bodyPr rot="0" spcFirstLastPara="1" vertOverflow="ellipsis" vert="horz" wrap="square" anchor="ctr" anchorCtr="1"/>
          <a:lstStyle/>
          <a:p>
            <a:pPr algn="ctr" rtl="0">
              <a:defRPr lang="en-US" sz="1800" b="0" i="0" u="none" strike="noStrike" kern="1200" cap="none" spc="20" baseline="0">
                <a:solidFill>
                  <a:schemeClr val="tx1"/>
                </a:solidFill>
                <a:latin typeface="+mn-lt"/>
                <a:ea typeface="+mn-ea"/>
                <a:cs typeface="+mn-cs"/>
              </a:defRPr>
            </a:pPr>
            <a:r>
              <a:rPr lang="en-US" sz="1800" b="0" i="0" u="none" strike="noStrike" kern="1200" cap="none" spc="20" baseline="0">
                <a:solidFill>
                  <a:schemeClr val="tx1"/>
                </a:solidFill>
                <a:latin typeface="+mn-lt"/>
                <a:ea typeface="+mn-ea"/>
                <a:cs typeface="+mn-cs"/>
              </a:rPr>
              <a:t>Other</a:t>
            </a:r>
          </a:p>
        </c:rich>
      </c:tx>
      <c:overlay val="0"/>
      <c:spPr>
        <a:noFill/>
        <a:ln>
          <a:noFill/>
        </a:ln>
        <a:effectLst/>
      </c:spPr>
      <c:txPr>
        <a:bodyPr rot="0" spcFirstLastPara="1" vertOverflow="ellipsis" vert="horz" wrap="square" anchor="ctr" anchorCtr="1"/>
        <a:lstStyle/>
        <a:p>
          <a:pPr algn="ctr" rtl="0">
            <a:defRPr lang="en-US" sz="1800" b="0" i="0" u="none" strike="noStrike" kern="1200" cap="none" spc="20" baseline="0">
              <a:solidFill>
                <a:schemeClr val="tx1"/>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marker>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2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20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18909090909090909"/>
                  <c:h val="0.27770851560221638"/>
                </c:manualLayout>
              </c15:layout>
            </c:ext>
          </c:extLst>
        </c:dLbl>
      </c:pivotFmt>
      <c:pivotFmt>
        <c:idx val="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20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0.21645021645021645"/>
              <c:y val="0.14814814814814806"/>
            </c:manualLayout>
          </c:layout>
          <c:spPr>
            <a:noFill/>
            <a:ln>
              <a:noFill/>
            </a:ln>
            <a:effectLst/>
          </c:spPr>
          <c:txPr>
            <a:bodyPr rot="0" spcFirstLastPara="1" vertOverflow="ellipsis" vert="horz" wrap="square" lIns="38100" tIns="19050" rIns="38100" bIns="19050" anchor="ctr" anchorCtr="1">
              <a:spAutoFit/>
            </a:bodyPr>
            <a:lstStyle/>
            <a:p>
              <a:pPr>
                <a:defRPr lang="en-US" sz="2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Calculation!$B$32</c:f>
              <c:strCache>
                <c:ptCount val="1"/>
                <c:pt idx="0">
                  <c:v>Total</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04-671C-41FA-A91D-88BF4234CA05}"/>
              </c:ext>
            </c:extLst>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c:ext xmlns:c16="http://schemas.microsoft.com/office/drawing/2014/chart" uri="{C3380CC4-5D6E-409C-BE32-E72D297353CC}">
                <c16:uniqueId val="{00000003-671C-41FA-A91D-88BF4234CA05}"/>
              </c:ext>
            </c:extLst>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extLst>
              <c:ext xmlns:c16="http://schemas.microsoft.com/office/drawing/2014/chart" uri="{C3380CC4-5D6E-409C-BE32-E72D297353CC}">
                <c16:uniqueId val="{00000005-671C-41FA-A91D-88BF4234CA05}"/>
              </c:ext>
            </c:extLst>
          </c:dPt>
          <c:dLbls>
            <c:dLbl>
              <c:idx val="0"/>
              <c:delete val="1"/>
              <c:extLst>
                <c:ext xmlns:c15="http://schemas.microsoft.com/office/drawing/2012/chart" uri="{CE6537A1-D6FC-4f65-9D91-7224C49458BB}">
                  <c15:layout>
                    <c:manualLayout>
                      <c:w val="0.18909090909090909"/>
                      <c:h val="0.27770851560221638"/>
                    </c:manualLayout>
                  </c15:layout>
                </c:ext>
                <c:ext xmlns:c16="http://schemas.microsoft.com/office/drawing/2014/chart" uri="{C3380CC4-5D6E-409C-BE32-E72D297353CC}">
                  <c16:uniqueId val="{00000004-671C-41FA-A91D-88BF4234CA05}"/>
                </c:ext>
              </c:extLst>
            </c:dLbl>
            <c:dLbl>
              <c:idx val="1"/>
              <c:delete val="1"/>
              <c:extLst>
                <c:ext xmlns:c15="http://schemas.microsoft.com/office/drawing/2012/chart" uri="{CE6537A1-D6FC-4f65-9D91-7224C49458BB}"/>
                <c:ext xmlns:c16="http://schemas.microsoft.com/office/drawing/2014/chart" uri="{C3380CC4-5D6E-409C-BE32-E72D297353CC}">
                  <c16:uniqueId val="{00000003-671C-41FA-A91D-88BF4234CA05}"/>
                </c:ext>
              </c:extLst>
            </c:dLbl>
            <c:dLbl>
              <c:idx val="2"/>
              <c:layout>
                <c:manualLayout>
                  <c:x val="0.21645021645021645"/>
                  <c:y val="0.1481481481481480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71C-41FA-A91D-88BF4234CA05}"/>
                </c:ext>
              </c:extLst>
            </c:dLbl>
            <c:spPr>
              <a:noFill/>
              <a:ln>
                <a:noFill/>
              </a:ln>
              <a:effectLst/>
            </c:spPr>
            <c:txPr>
              <a:bodyPr rot="0" spcFirstLastPara="1" vertOverflow="ellipsis" vert="horz" wrap="square" lIns="38100" tIns="19050" rIns="38100" bIns="19050" anchor="ctr" anchorCtr="1">
                <a:spAutoFit/>
              </a:bodyPr>
              <a:lstStyle/>
              <a:p>
                <a:pPr>
                  <a:defRPr lang="en-US" sz="2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Calculation!$A$33:$A$36</c:f>
              <c:strCache>
                <c:ptCount val="3"/>
                <c:pt idx="0">
                  <c:v>Female</c:v>
                </c:pt>
                <c:pt idx="1">
                  <c:v>Male</c:v>
                </c:pt>
                <c:pt idx="2">
                  <c:v>Other</c:v>
                </c:pt>
              </c:strCache>
            </c:strRef>
          </c:cat>
          <c:val>
            <c:numRef>
              <c:f>Calculation!$B$33:$B$36</c:f>
              <c:numCache>
                <c:formatCode>General</c:formatCode>
                <c:ptCount val="3"/>
                <c:pt idx="0">
                  <c:v>169</c:v>
                </c:pt>
                <c:pt idx="1">
                  <c:v>176</c:v>
                </c:pt>
                <c:pt idx="2">
                  <c:v>156</c:v>
                </c:pt>
              </c:numCache>
            </c:numRef>
          </c:val>
          <c:extLst>
            <c:ext xmlns:c16="http://schemas.microsoft.com/office/drawing/2014/chart" uri="{C3380CC4-5D6E-409C-BE32-E72D297353CC}">
              <c16:uniqueId val="{00000000-671C-41FA-A91D-88BF4234CA05}"/>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Board Employe Performance.xlsx]Calculation!CountByGender</c:name>
    <c:fmtId val="3"/>
  </c:pivotSource>
  <c:chart>
    <c:title>
      <c:tx>
        <c:rich>
          <a:bodyPr rot="0" spcFirstLastPara="1" vertOverflow="ellipsis" vert="horz" wrap="square" anchor="ctr" anchorCtr="1"/>
          <a:lstStyle/>
          <a:p>
            <a:pPr algn="ctr" rtl="0">
              <a:defRPr lang="en-US" sz="1800" b="0" i="0" u="none" strike="noStrike" kern="1200" cap="none" spc="20" baseline="0">
                <a:solidFill>
                  <a:schemeClr val="tx1"/>
                </a:solidFill>
                <a:latin typeface="+mn-lt"/>
                <a:ea typeface="+mn-ea"/>
                <a:cs typeface="+mn-cs"/>
              </a:defRPr>
            </a:pPr>
            <a:r>
              <a:rPr lang="en-US" sz="1800" b="0" i="0" u="none" strike="noStrike" kern="1200" cap="none" spc="20" baseline="0">
                <a:solidFill>
                  <a:schemeClr val="tx1"/>
                </a:solidFill>
                <a:latin typeface="+mn-lt"/>
                <a:ea typeface="+mn-ea"/>
                <a:cs typeface="+mn-cs"/>
              </a:rPr>
              <a:t>Total Female</a:t>
            </a:r>
          </a:p>
        </c:rich>
      </c:tx>
      <c:overlay val="0"/>
      <c:spPr>
        <a:noFill/>
        <a:ln>
          <a:noFill/>
        </a:ln>
        <a:effectLst/>
      </c:spPr>
      <c:txPr>
        <a:bodyPr rot="0" spcFirstLastPara="1" vertOverflow="ellipsis" vert="horz" wrap="square" anchor="ctr" anchorCtr="1"/>
        <a:lstStyle/>
        <a:p>
          <a:pPr algn="ctr" rtl="0">
            <a:defRPr lang="en-US" sz="1800" b="0" i="0" u="none" strike="noStrike" kern="1200" cap="none" spc="20" baseline="0">
              <a:solidFill>
                <a:schemeClr val="tx1"/>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marker>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2.7777777777777779E-3"/>
              <c:y val="-0.27314814814814814"/>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fld id="{37BCC135-443A-43C5-AEC6-D49502AEC155}" type="VALUE">
                  <a:rPr lang="en-US" sz="2000" b="1">
                    <a:solidFill>
                      <a:schemeClr val="tx1"/>
                    </a:solidFill>
                  </a:rPr>
                  <a:pPr>
                    <a:defRPr sz="900" b="0" i="0" u="none" strike="noStrike" kern="1200" baseline="0">
                      <a:solidFill>
                        <a:schemeClr val="tx1">
                          <a:lumMod val="65000"/>
                          <a:lumOff val="3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2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0.26406926406926406"/>
              <c:y val="0.11574074074074066"/>
            </c:manualLayout>
          </c:layout>
          <c:spPr>
            <a:noFill/>
            <a:ln>
              <a:noFill/>
            </a:ln>
            <a:effectLst/>
          </c:spPr>
          <c:txPr>
            <a:bodyPr rot="0" spcFirstLastPara="1" vertOverflow="ellipsis" vert="horz" wrap="square" lIns="38100" tIns="19050" rIns="38100" bIns="19050" anchor="ctr" anchorCtr="0">
              <a:spAutoFit/>
            </a:bodyPr>
            <a:lstStyle/>
            <a:p>
              <a:pPr algn="ctr">
                <a:defRPr lang="en-US" sz="2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spPr>
            <a:noFill/>
            <a:ln>
              <a:noFill/>
            </a:ln>
            <a:effectLst/>
          </c:spPr>
          <c:txPr>
            <a:bodyPr rot="0" spcFirstLastPara="1" vertOverflow="ellipsis" vert="horz" wrap="square" lIns="38100" tIns="19050" rIns="38100" bIns="19050" anchor="ctr" anchorCtr="0">
              <a:spAutoFit/>
            </a:bodyPr>
            <a:lstStyle/>
            <a:p>
              <a:pPr algn="ctr">
                <a:defRPr lang="en-US" sz="20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spPr>
            <a:noFill/>
            <a:ln>
              <a:noFill/>
            </a:ln>
            <a:effectLst/>
          </c:spPr>
          <c:txPr>
            <a:bodyPr rot="0" spcFirstLastPara="1" vertOverflow="ellipsis" vert="horz" wrap="square" lIns="38100" tIns="19050" rIns="38100" bIns="19050" anchor="ctr" anchorCtr="0">
              <a:spAutoFit/>
            </a:bodyPr>
            <a:lstStyle/>
            <a:p>
              <a:pPr algn="ctr">
                <a:defRPr lang="en-US" sz="20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Calculation!$B$32</c:f>
              <c:strCache>
                <c:ptCount val="1"/>
                <c:pt idx="0">
                  <c:v>Total</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04-671C-41FA-A91D-88BF4234CA05}"/>
              </c:ext>
            </c:extLst>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c:ext xmlns:c16="http://schemas.microsoft.com/office/drawing/2014/chart" uri="{C3380CC4-5D6E-409C-BE32-E72D297353CC}">
                <c16:uniqueId val="{00000003-671C-41FA-A91D-88BF4234CA05}"/>
              </c:ext>
            </c:extLst>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extLst>
              <c:ext xmlns:c16="http://schemas.microsoft.com/office/drawing/2014/chart" uri="{C3380CC4-5D6E-409C-BE32-E72D297353CC}">
                <c16:uniqueId val="{00000005-671C-41FA-A91D-88BF4234CA05}"/>
              </c:ext>
            </c:extLst>
          </c:dPt>
          <c:dLbls>
            <c:dLbl>
              <c:idx val="0"/>
              <c:layout>
                <c:manualLayout>
                  <c:x val="-0.26406926406926406"/>
                  <c:y val="0.1157407407407406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71C-41FA-A91D-88BF4234CA05}"/>
                </c:ext>
              </c:extLst>
            </c:dLbl>
            <c:dLbl>
              <c:idx val="1"/>
              <c:delete val="1"/>
              <c:extLst>
                <c:ext xmlns:c15="http://schemas.microsoft.com/office/drawing/2012/chart" uri="{CE6537A1-D6FC-4f65-9D91-7224C49458BB}"/>
                <c:ext xmlns:c16="http://schemas.microsoft.com/office/drawing/2014/chart" uri="{C3380CC4-5D6E-409C-BE32-E72D297353CC}">
                  <c16:uniqueId val="{00000003-671C-41FA-A91D-88BF4234CA05}"/>
                </c:ext>
              </c:extLst>
            </c:dLbl>
            <c:dLbl>
              <c:idx val="2"/>
              <c:delete val="1"/>
              <c:extLst>
                <c:ext xmlns:c15="http://schemas.microsoft.com/office/drawing/2012/chart" uri="{CE6537A1-D6FC-4f65-9D91-7224C49458BB}"/>
                <c:ext xmlns:c16="http://schemas.microsoft.com/office/drawing/2014/chart" uri="{C3380CC4-5D6E-409C-BE32-E72D297353CC}">
                  <c16:uniqueId val="{00000005-671C-41FA-A91D-88BF4234CA05}"/>
                </c:ext>
              </c:extLst>
            </c:dLbl>
            <c:spPr>
              <a:noFill/>
              <a:ln>
                <a:noFill/>
              </a:ln>
              <a:effectLst/>
            </c:spPr>
            <c:txPr>
              <a:bodyPr rot="0" spcFirstLastPara="1" vertOverflow="ellipsis" vert="horz" wrap="square" lIns="38100" tIns="19050" rIns="38100" bIns="19050" anchor="ctr" anchorCtr="0">
                <a:spAutoFit/>
              </a:bodyPr>
              <a:lstStyle/>
              <a:p>
                <a:pPr algn="ctr">
                  <a:defRPr lang="en-US" sz="2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Calculation!$A$33:$A$36</c:f>
              <c:strCache>
                <c:ptCount val="3"/>
                <c:pt idx="0">
                  <c:v>Female</c:v>
                </c:pt>
                <c:pt idx="1">
                  <c:v>Male</c:v>
                </c:pt>
                <c:pt idx="2">
                  <c:v>Other</c:v>
                </c:pt>
              </c:strCache>
            </c:strRef>
          </c:cat>
          <c:val>
            <c:numRef>
              <c:f>Calculation!$B$33:$B$36</c:f>
              <c:numCache>
                <c:formatCode>General</c:formatCode>
                <c:ptCount val="3"/>
                <c:pt idx="0">
                  <c:v>169</c:v>
                </c:pt>
                <c:pt idx="1">
                  <c:v>176</c:v>
                </c:pt>
                <c:pt idx="2">
                  <c:v>156</c:v>
                </c:pt>
              </c:numCache>
            </c:numRef>
          </c:val>
          <c:extLst>
            <c:ext xmlns:c16="http://schemas.microsoft.com/office/drawing/2014/chart" uri="{C3380CC4-5D6E-409C-BE32-E72D297353CC}">
              <c16:uniqueId val="{00000000-671C-41FA-A91D-88BF4234CA05}"/>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Board Employe Performance.xlsx]Calculation!CountByGender</c:name>
    <c:fmtId val="16"/>
  </c:pivotSource>
  <c:chart>
    <c:title>
      <c:tx>
        <c:rich>
          <a:bodyPr rot="0" spcFirstLastPara="1" vertOverflow="ellipsis" vert="horz" wrap="square" anchor="ctr" anchorCtr="1"/>
          <a:lstStyle/>
          <a:p>
            <a:pPr algn="ctr" rtl="0">
              <a:defRPr lang="en-US" sz="1800" b="0" i="0" u="none" strike="noStrike" kern="1200" cap="none" spc="20" baseline="0">
                <a:solidFill>
                  <a:schemeClr val="tx1"/>
                </a:solidFill>
                <a:latin typeface="+mn-lt"/>
                <a:ea typeface="+mn-ea"/>
                <a:cs typeface="+mn-cs"/>
              </a:defRPr>
            </a:pPr>
            <a:r>
              <a:rPr lang="en-US" sz="1800" b="0" i="0" u="none" strike="noStrike" kern="1200" cap="none" spc="20" baseline="0">
                <a:solidFill>
                  <a:schemeClr val="tx1"/>
                </a:solidFill>
                <a:latin typeface="+mn-lt"/>
                <a:ea typeface="+mn-ea"/>
                <a:cs typeface="+mn-cs"/>
              </a:rPr>
              <a:t>Total Male</a:t>
            </a:r>
          </a:p>
        </c:rich>
      </c:tx>
      <c:overlay val="0"/>
      <c:spPr>
        <a:noFill/>
        <a:ln>
          <a:noFill/>
        </a:ln>
        <a:effectLst/>
      </c:spPr>
      <c:txPr>
        <a:bodyPr rot="0" spcFirstLastPara="1" vertOverflow="ellipsis" vert="horz" wrap="square" anchor="ctr" anchorCtr="1"/>
        <a:lstStyle/>
        <a:p>
          <a:pPr algn="ctr" rtl="0">
            <a:defRPr lang="en-US" sz="1800" b="0" i="0" u="none" strike="noStrike" kern="1200" cap="none" spc="20" baseline="0">
              <a:solidFill>
                <a:schemeClr val="tx1"/>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marker>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2.7777777777777779E-3"/>
              <c:y val="-0.27314814814814814"/>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fld id="{37BCC135-443A-43C5-AEC6-D49502AEC155}" type="VALUE">
                  <a:rPr lang="en-US" sz="2000" b="1">
                    <a:solidFill>
                      <a:schemeClr val="tx1"/>
                    </a:solidFill>
                  </a:rPr>
                  <a:pPr>
                    <a:defRPr sz="900" b="0" i="0" u="none" strike="noStrike" kern="1200" baseline="0">
                      <a:solidFill>
                        <a:schemeClr val="tx1">
                          <a:lumMod val="65000"/>
                          <a:lumOff val="3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2.7777777777777779E-3"/>
              <c:y val="-0.27314814814814814"/>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fld id="{37BCC135-443A-43C5-AEC6-D49502AEC155}" type="VALUE">
                  <a:rPr lang="en-US" sz="2000" b="1">
                    <a:solidFill>
                      <a:schemeClr val="tx1"/>
                    </a:solidFill>
                  </a:rPr>
                  <a:pPr>
                    <a:defRPr sz="900" b="0" i="0" u="none" strike="noStrike" kern="1200" baseline="0">
                      <a:solidFill>
                        <a:schemeClr val="tx1">
                          <a:lumMod val="65000"/>
                          <a:lumOff val="3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2.7777777777777779E-3"/>
              <c:y val="-0.27314814814814814"/>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fld id="{37BCC135-443A-43C5-AEC6-D49502AEC155}" type="VALUE">
                  <a:rPr lang="en-US" sz="2000" b="1">
                    <a:solidFill>
                      <a:schemeClr val="tx1"/>
                    </a:solidFill>
                  </a:rPr>
                  <a:pPr>
                    <a:defRPr sz="900" b="0" i="0" u="none" strike="noStrike" kern="1200" baseline="0">
                      <a:solidFill>
                        <a:schemeClr val="tx1">
                          <a:lumMod val="65000"/>
                          <a:lumOff val="3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2.7777777777777779E-3"/>
              <c:y val="-0.27314814814814814"/>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fld id="{37BCC135-443A-43C5-AEC6-D49502AEC155}" type="VALUE">
                  <a:rPr lang="en-US" sz="2000" b="1">
                    <a:solidFill>
                      <a:schemeClr val="tx1"/>
                    </a:solidFill>
                  </a:rPr>
                  <a:pPr>
                    <a:defRPr sz="900" b="0" i="0" u="none" strike="noStrike" kern="1200" baseline="0">
                      <a:solidFill>
                        <a:schemeClr val="tx1">
                          <a:lumMod val="65000"/>
                          <a:lumOff val="3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2.7777777777777779E-3"/>
              <c:y val="-0.27314814814814814"/>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fld id="{37BCC135-443A-43C5-AEC6-D49502AEC155}" type="VALUE">
                  <a:rPr lang="en-US" sz="2000" b="1">
                    <a:solidFill>
                      <a:schemeClr val="tx1"/>
                    </a:solidFill>
                  </a:rPr>
                  <a:pPr>
                    <a:defRPr sz="900" b="0" i="0" u="none" strike="noStrike" kern="1200" baseline="0">
                      <a:solidFill>
                        <a:schemeClr val="tx1">
                          <a:lumMod val="65000"/>
                          <a:lumOff val="3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2.7777777777777779E-3"/>
              <c:y val="-0.27314814814814814"/>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fld id="{37BCC135-443A-43C5-AEC6-D49502AEC155}" type="VALUE">
                  <a:rPr lang="en-US" sz="2000" b="1">
                    <a:solidFill>
                      <a:schemeClr val="tx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Calculation!$B$32</c:f>
              <c:strCache>
                <c:ptCount val="1"/>
                <c:pt idx="0">
                  <c:v>Total</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01-F505-4445-BFF7-4DDB94F04032}"/>
              </c:ext>
            </c:extLst>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c:ext xmlns:c16="http://schemas.microsoft.com/office/drawing/2014/chart" uri="{C3380CC4-5D6E-409C-BE32-E72D297353CC}">
                <c16:uniqueId val="{00000003-F505-4445-BFF7-4DDB94F04032}"/>
              </c:ext>
            </c:extLst>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extLst>
              <c:ext xmlns:c16="http://schemas.microsoft.com/office/drawing/2014/chart" uri="{C3380CC4-5D6E-409C-BE32-E72D297353CC}">
                <c16:uniqueId val="{00000005-F505-4445-BFF7-4DDB94F04032}"/>
              </c:ext>
            </c:extLst>
          </c:dPt>
          <c:dLbls>
            <c:dLbl>
              <c:idx val="0"/>
              <c:delete val="1"/>
              <c:extLst>
                <c:ext xmlns:c15="http://schemas.microsoft.com/office/drawing/2012/chart" uri="{CE6537A1-D6FC-4f65-9D91-7224C49458BB}"/>
                <c:ext xmlns:c16="http://schemas.microsoft.com/office/drawing/2014/chart" uri="{C3380CC4-5D6E-409C-BE32-E72D297353CC}">
                  <c16:uniqueId val="{00000001-F505-4445-BFF7-4DDB94F04032}"/>
                </c:ext>
              </c:extLst>
            </c:dLbl>
            <c:dLbl>
              <c:idx val="1"/>
              <c:layout>
                <c:manualLayout>
                  <c:x val="2.7777777777777779E-3"/>
                  <c:y val="-0.27314814814814814"/>
                </c:manualLayout>
              </c:layout>
              <c:tx>
                <c:rich>
                  <a:bodyPr/>
                  <a:lstStyle/>
                  <a:p>
                    <a:fld id="{37BCC135-443A-43C5-AEC6-D49502AEC155}" type="VALUE">
                      <a:rPr lang="en-US" sz="2000" b="1">
                        <a:solidFill>
                          <a:schemeClr val="tx1"/>
                        </a:solidFill>
                      </a:rPr>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F505-4445-BFF7-4DDB94F04032}"/>
                </c:ext>
              </c:extLst>
            </c:dLbl>
            <c:dLbl>
              <c:idx val="2"/>
              <c:delete val="1"/>
              <c:extLst>
                <c:ext xmlns:c15="http://schemas.microsoft.com/office/drawing/2012/chart" uri="{CE6537A1-D6FC-4f65-9D91-7224C49458BB}"/>
                <c:ext xmlns:c16="http://schemas.microsoft.com/office/drawing/2014/chart" uri="{C3380CC4-5D6E-409C-BE32-E72D297353CC}">
                  <c16:uniqueId val="{00000005-F505-4445-BFF7-4DDB94F0403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Calculation!$A$33:$A$36</c:f>
              <c:strCache>
                <c:ptCount val="3"/>
                <c:pt idx="0">
                  <c:v>Female</c:v>
                </c:pt>
                <c:pt idx="1">
                  <c:v>Male</c:v>
                </c:pt>
                <c:pt idx="2">
                  <c:v>Other</c:v>
                </c:pt>
              </c:strCache>
            </c:strRef>
          </c:cat>
          <c:val>
            <c:numRef>
              <c:f>Calculation!$B$33:$B$36</c:f>
              <c:numCache>
                <c:formatCode>General</c:formatCode>
                <c:ptCount val="3"/>
                <c:pt idx="0">
                  <c:v>169</c:v>
                </c:pt>
                <c:pt idx="1">
                  <c:v>176</c:v>
                </c:pt>
                <c:pt idx="2">
                  <c:v>156</c:v>
                </c:pt>
              </c:numCache>
            </c:numRef>
          </c:val>
          <c:extLst>
            <c:ext xmlns:c16="http://schemas.microsoft.com/office/drawing/2014/chart" uri="{C3380CC4-5D6E-409C-BE32-E72D297353CC}">
              <c16:uniqueId val="{00000006-F505-4445-BFF7-4DDB94F04032}"/>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Board Employe Performance.xlsx]Calculation!SalaryByDepartment-Location</c:name>
    <c:fmtId val="8"/>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sz="1800">
                <a:solidFill>
                  <a:schemeClr val="tx1"/>
                </a:solidFill>
              </a:rPr>
              <a:t>Salary By Branch Per Department</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Calculation!$BS$5:$BS$6</c:f>
              <c:strCache>
                <c:ptCount val="1"/>
                <c:pt idx="0">
                  <c:v>IT</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cat>
            <c:strRef>
              <c:f>Calculation!$BR$7:$BR$10</c:f>
              <c:strCache>
                <c:ptCount val="3"/>
                <c:pt idx="0">
                  <c:v>Los Angeles</c:v>
                </c:pt>
                <c:pt idx="1">
                  <c:v>New York</c:v>
                </c:pt>
                <c:pt idx="2">
                  <c:v>Chicago</c:v>
                </c:pt>
              </c:strCache>
            </c:strRef>
          </c:cat>
          <c:val>
            <c:numRef>
              <c:f>Calculation!$BS$7:$BS$10</c:f>
              <c:numCache>
                <c:formatCode>\$#,##0;\(\$#,##0\);\$#,##0</c:formatCode>
                <c:ptCount val="3"/>
                <c:pt idx="0">
                  <c:v>372938</c:v>
                </c:pt>
                <c:pt idx="1">
                  <c:v>359409</c:v>
                </c:pt>
                <c:pt idx="2">
                  <c:v>280122</c:v>
                </c:pt>
              </c:numCache>
            </c:numRef>
          </c:val>
          <c:extLst>
            <c:ext xmlns:c16="http://schemas.microsoft.com/office/drawing/2014/chart" uri="{C3380CC4-5D6E-409C-BE32-E72D297353CC}">
              <c16:uniqueId val="{00000000-9CF6-4740-A8EF-D9ED8ACEF006}"/>
            </c:ext>
          </c:extLst>
        </c:ser>
        <c:ser>
          <c:idx val="1"/>
          <c:order val="1"/>
          <c:tx>
            <c:strRef>
              <c:f>Calculation!$BT$5:$BT$6</c:f>
              <c:strCache>
                <c:ptCount val="1"/>
                <c:pt idx="0">
                  <c:v>Sales</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cat>
            <c:strRef>
              <c:f>Calculation!$BR$7:$BR$10</c:f>
              <c:strCache>
                <c:ptCount val="3"/>
                <c:pt idx="0">
                  <c:v>Los Angeles</c:v>
                </c:pt>
                <c:pt idx="1">
                  <c:v>New York</c:v>
                </c:pt>
                <c:pt idx="2">
                  <c:v>Chicago</c:v>
                </c:pt>
              </c:strCache>
            </c:strRef>
          </c:cat>
          <c:val>
            <c:numRef>
              <c:f>Calculation!$BT$7:$BT$10</c:f>
              <c:numCache>
                <c:formatCode>\$#,##0;\(\$#,##0\);\$#,##0</c:formatCode>
                <c:ptCount val="3"/>
                <c:pt idx="0">
                  <c:v>319157</c:v>
                </c:pt>
                <c:pt idx="1">
                  <c:v>328987</c:v>
                </c:pt>
                <c:pt idx="2">
                  <c:v>343562</c:v>
                </c:pt>
              </c:numCache>
            </c:numRef>
          </c:val>
          <c:extLst>
            <c:ext xmlns:c16="http://schemas.microsoft.com/office/drawing/2014/chart" uri="{C3380CC4-5D6E-409C-BE32-E72D297353CC}">
              <c16:uniqueId val="{00000001-DA7E-4279-9F37-0BB592AF1337}"/>
            </c:ext>
          </c:extLst>
        </c:ser>
        <c:ser>
          <c:idx val="2"/>
          <c:order val="2"/>
          <c:tx>
            <c:strRef>
              <c:f>Calculation!$BU$5:$BU$6</c:f>
              <c:strCache>
                <c:ptCount val="1"/>
                <c:pt idx="0">
                  <c:v>HR</c:v>
                </c:pt>
              </c:strCache>
            </c:strRef>
          </c:tx>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invertIfNegative val="0"/>
          <c:cat>
            <c:strRef>
              <c:f>Calculation!$BR$7:$BR$10</c:f>
              <c:strCache>
                <c:ptCount val="3"/>
                <c:pt idx="0">
                  <c:v>Los Angeles</c:v>
                </c:pt>
                <c:pt idx="1">
                  <c:v>New York</c:v>
                </c:pt>
                <c:pt idx="2">
                  <c:v>Chicago</c:v>
                </c:pt>
              </c:strCache>
            </c:strRef>
          </c:cat>
          <c:val>
            <c:numRef>
              <c:f>Calculation!$BU$7:$BU$10</c:f>
              <c:numCache>
                <c:formatCode>\$#,##0;\(\$#,##0\);\$#,##0</c:formatCode>
                <c:ptCount val="3"/>
                <c:pt idx="0">
                  <c:v>356796</c:v>
                </c:pt>
                <c:pt idx="1">
                  <c:v>267017</c:v>
                </c:pt>
                <c:pt idx="2">
                  <c:v>307610</c:v>
                </c:pt>
              </c:numCache>
            </c:numRef>
          </c:val>
          <c:extLst>
            <c:ext xmlns:c16="http://schemas.microsoft.com/office/drawing/2014/chart" uri="{C3380CC4-5D6E-409C-BE32-E72D297353CC}">
              <c16:uniqueId val="{00000002-DA7E-4279-9F37-0BB592AF1337}"/>
            </c:ext>
          </c:extLst>
        </c:ser>
        <c:dLbls>
          <c:showLegendKey val="0"/>
          <c:showVal val="0"/>
          <c:showCatName val="0"/>
          <c:showSerName val="0"/>
          <c:showPercent val="0"/>
          <c:showBubbleSize val="0"/>
        </c:dLbls>
        <c:gapWidth val="100"/>
        <c:overlap val="-24"/>
        <c:axId val="915341839"/>
        <c:axId val="915343279"/>
      </c:barChart>
      <c:catAx>
        <c:axId val="915341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915343279"/>
        <c:crosses val="autoZero"/>
        <c:auto val="1"/>
        <c:lblAlgn val="ctr"/>
        <c:lblOffset val="100"/>
        <c:noMultiLvlLbl val="0"/>
      </c:catAx>
      <c:valAx>
        <c:axId val="91534327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915341839"/>
        <c:crosses val="autoZero"/>
        <c:crossBetween val="between"/>
        <c:dispUnits>
          <c:builtInUnit val="thousands"/>
          <c:dispUnitsLbl>
            <c:spPr>
              <a:noFill/>
              <a:ln>
                <a:noFill/>
              </a:ln>
              <a:effectLst/>
            </c:spPr>
            <c:txPr>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Board Employe Performance.xlsx]Calculation!SalaryByBranch</c:name>
    <c:fmtId val="16"/>
  </c:pivotSource>
  <c:chart>
    <c:title>
      <c:tx>
        <c:rich>
          <a:bodyPr rot="0" spcFirstLastPara="1" vertOverflow="ellipsis" vert="horz" wrap="square" anchor="ctr" anchorCtr="1"/>
          <a:lstStyle/>
          <a:p>
            <a:pPr algn="ctr" rtl="0">
              <a:defRPr lang="en-US" sz="1400" b="0" i="0" u="none" strike="noStrike" kern="1200" cap="none" spc="20" baseline="0">
                <a:solidFill>
                  <a:schemeClr val="tx1"/>
                </a:solidFill>
                <a:latin typeface="+mn-lt"/>
                <a:ea typeface="+mn-ea"/>
                <a:cs typeface="+mn-cs"/>
              </a:defRPr>
            </a:pPr>
            <a:r>
              <a:rPr lang="en-US" sz="1800" b="0" i="0" u="none" strike="noStrike" kern="1200" cap="none" spc="20" baseline="0">
                <a:solidFill>
                  <a:schemeClr val="tx1"/>
                </a:solidFill>
                <a:latin typeface="+mn-lt"/>
                <a:ea typeface="+mn-ea"/>
                <a:cs typeface="+mn-cs"/>
              </a:rPr>
              <a:t>Salary By Branch and Department</a:t>
            </a:r>
          </a:p>
        </c:rich>
      </c:tx>
      <c:overlay val="0"/>
      <c:spPr>
        <a:noFill/>
        <a:ln>
          <a:noFill/>
        </a:ln>
        <a:effectLst/>
      </c:spPr>
      <c:txPr>
        <a:bodyPr rot="0" spcFirstLastPara="1" vertOverflow="ellipsis" vert="horz" wrap="square" anchor="ctr" anchorCtr="1"/>
        <a:lstStyle/>
        <a:p>
          <a:pPr algn="ctr" rtl="0">
            <a:defRPr lang="en-US" sz="1400" b="0" i="0" u="none" strike="noStrike" kern="1200" cap="none" spc="20" baseline="0">
              <a:solidFill>
                <a:schemeClr val="tx1"/>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dLbl>
          <c:idx val="0"/>
          <c:layout>
            <c:manualLayout>
              <c:x val="-0.3444444444444445"/>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dLbl>
          <c:idx val="0"/>
          <c:layout>
            <c:manualLayout>
              <c:x val="8.7777777777777247E-3"/>
              <c:y val="-0.24533555701370668"/>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65000"/>
                        <a:lumOff val="35000"/>
                      </a:schemeClr>
                    </a:solidFill>
                    <a:latin typeface="+mn-lt"/>
                    <a:ea typeface="+mn-ea"/>
                    <a:cs typeface="+mn-cs"/>
                  </a:defRPr>
                </a:pPr>
                <a:fld id="{6DF72688-FAAB-49B4-949E-18F5B24234F5}" type="VALUE">
                  <a:rPr lang="en-US" sz="1800" b="1">
                    <a:solidFill>
                      <a:schemeClr val="tx1"/>
                    </a:solidFill>
                  </a:rPr>
                  <a:pPr>
                    <a:defRPr sz="900" b="0" i="0" u="none" strike="noStrike" kern="1200" baseline="0">
                      <a:solidFill>
                        <a:schemeClr val="tx1">
                          <a:lumMod val="65000"/>
                          <a:lumOff val="3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
                  <c:h val="0.16666666666666666"/>
                </c:manualLayout>
              </c15:layout>
              <c15:dlblFieldTable/>
              <c15:showDataLabelsRange val="0"/>
            </c:ext>
          </c:extLst>
        </c:dLbl>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0.33611111111111114"/>
              <c:y val="-0.1342592592592592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8.7777777777777247E-3"/>
              <c:y val="-0.24533555701370668"/>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65000"/>
                        <a:lumOff val="35000"/>
                      </a:schemeClr>
                    </a:solidFill>
                    <a:latin typeface="+mn-lt"/>
                    <a:ea typeface="+mn-ea"/>
                    <a:cs typeface="+mn-cs"/>
                  </a:defRPr>
                </a:pPr>
                <a:fld id="{6DF72688-FAAB-49B4-949E-18F5B24234F5}" type="VALUE">
                  <a:rPr lang="en-US" sz="1800" b="1">
                    <a:solidFill>
                      <a:schemeClr val="tx1"/>
                    </a:solidFill>
                  </a:rPr>
                  <a:pPr>
                    <a:defRPr sz="900" b="0" i="0" u="none" strike="noStrike" kern="1200" baseline="0">
                      <a:solidFill>
                        <a:schemeClr val="tx1">
                          <a:lumMod val="65000"/>
                          <a:lumOff val="3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
                  <c:h val="0.16666666666666666"/>
                </c:manualLayout>
              </c15:layout>
              <c15:dlblFieldTable/>
              <c15:showDataLabelsRange val="0"/>
            </c:ext>
          </c:extLst>
        </c:dLbl>
      </c:pivotFmt>
      <c:pivotFmt>
        <c:idx val="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8.7777777777777247E-3"/>
              <c:y val="-0.24533555701370668"/>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65000"/>
                        <a:lumOff val="35000"/>
                      </a:schemeClr>
                    </a:solidFill>
                    <a:latin typeface="+mn-lt"/>
                    <a:ea typeface="+mn-ea"/>
                    <a:cs typeface="+mn-cs"/>
                  </a:defRPr>
                </a:pPr>
                <a:fld id="{6DF72688-FAAB-49B4-949E-18F5B24234F5}" type="VALUE">
                  <a:rPr lang="en-US" sz="1800" b="1">
                    <a:solidFill>
                      <a:schemeClr val="tx1"/>
                    </a:solidFill>
                  </a:rPr>
                  <a:pPr>
                    <a:defRPr sz="900" b="0" i="0" u="none" strike="noStrike" kern="1200" baseline="0">
                      <a:solidFill>
                        <a:schemeClr val="tx1">
                          <a:lumMod val="65000"/>
                          <a:lumOff val="3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
                  <c:h val="0.16666666666666666"/>
                </c:manualLayout>
              </c15:layout>
              <c15:dlblFieldTable/>
              <c15:showDataLabelsRange val="0"/>
            </c:ext>
          </c:extLst>
        </c:dLbl>
      </c:pivotFmt>
      <c:pivotFmt>
        <c:idx val="1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8.7777777777777247E-3"/>
              <c:y val="-0.24533555701370668"/>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65000"/>
                        <a:lumOff val="35000"/>
                      </a:schemeClr>
                    </a:solidFill>
                    <a:latin typeface="+mn-lt"/>
                    <a:ea typeface="+mn-ea"/>
                    <a:cs typeface="+mn-cs"/>
                  </a:defRPr>
                </a:pPr>
                <a:fld id="{6DF72688-FAAB-49B4-949E-18F5B24234F5}" type="VALUE">
                  <a:rPr lang="en-US" sz="1800" b="1">
                    <a:solidFill>
                      <a:schemeClr val="tx1"/>
                    </a:solidFill>
                  </a:rPr>
                  <a:pPr>
                    <a:defRPr sz="900" b="0" i="0" u="none" strike="noStrike" kern="1200" baseline="0">
                      <a:solidFill>
                        <a:schemeClr val="tx1">
                          <a:lumMod val="65000"/>
                          <a:lumOff val="3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
                  <c:h val="0.16666666666666666"/>
                </c:manualLayout>
              </c15:layout>
              <c15:dlblFieldTable/>
              <c15:showDataLabelsRange val="0"/>
            </c:ext>
          </c:extLst>
        </c:dLbl>
      </c:pivotFmt>
      <c:pivotFmt>
        <c:idx val="1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8.7777777777777247E-3"/>
              <c:y val="-0.24533555701370668"/>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65000"/>
                        <a:lumOff val="35000"/>
                      </a:schemeClr>
                    </a:solidFill>
                    <a:latin typeface="+mn-lt"/>
                    <a:ea typeface="+mn-ea"/>
                    <a:cs typeface="+mn-cs"/>
                  </a:defRPr>
                </a:pPr>
                <a:fld id="{6DF72688-FAAB-49B4-949E-18F5B24234F5}" type="VALUE">
                  <a:rPr lang="en-US" sz="1800" b="1">
                    <a:solidFill>
                      <a:schemeClr val="tx1"/>
                    </a:solidFill>
                  </a:rPr>
                  <a:pPr>
                    <a:defRPr sz="900" b="0" i="0" u="none" strike="noStrike" kern="1200" baseline="0">
                      <a:solidFill>
                        <a:schemeClr val="tx1">
                          <a:lumMod val="65000"/>
                          <a:lumOff val="3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
                  <c:h val="0.16666666666666666"/>
                </c:manualLayout>
              </c15:layout>
              <c15:dlblFieldTable/>
              <c15:showDataLabelsRange val="0"/>
            </c:ext>
          </c:extLst>
        </c:dLbl>
      </c:pivotFmt>
      <c:pivotFmt>
        <c:idx val="1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tx>
            <c:rich>
              <a:bodyPr rot="0" spcFirstLastPara="1" vertOverflow="ellipsis" vert="horz" wrap="square" lIns="38100" tIns="19050" rIns="38100" bIns="19050" anchor="ctr" anchorCtr="0">
                <a:spAutoFit/>
              </a:bodyPr>
              <a:lstStyle/>
              <a:p>
                <a:pPr algn="ctr">
                  <a:defRPr lang="en-US" sz="1400" b="0" i="0" u="none" strike="noStrike" kern="1200" baseline="0">
                    <a:solidFill>
                      <a:sysClr val="windowText" lastClr="000000">
                        <a:lumMod val="65000"/>
                        <a:lumOff val="35000"/>
                      </a:sysClr>
                    </a:solidFill>
                    <a:latin typeface="+mn-lt"/>
                    <a:ea typeface="+mn-ea"/>
                    <a:cs typeface="+mn-cs"/>
                  </a:defRPr>
                </a:pPr>
                <a:fld id="{EAEEDD49-9031-4D46-9C43-DD94FBA09114}" type="PERCENTAGE">
                  <a:rPr lang="en-US" sz="1400" b="0" i="0" u="none" strike="noStrike" kern="1200" baseline="0">
                    <a:solidFill>
                      <a:sysClr val="windowText" lastClr="000000">
                        <a:lumMod val="65000"/>
                        <a:lumOff val="35000"/>
                      </a:sysClr>
                    </a:solidFill>
                    <a:latin typeface="+mn-lt"/>
                    <a:ea typeface="+mn-ea"/>
                    <a:cs typeface="+mn-cs"/>
                  </a:rPr>
                  <a:pPr algn="ctr">
                    <a:defRPr lang="en-US" sz="1400">
                      <a:solidFill>
                        <a:sysClr val="windowText" lastClr="000000">
                          <a:lumMod val="65000"/>
                          <a:lumOff val="35000"/>
                        </a:sysClr>
                      </a:solidFill>
                    </a:defRPr>
                  </a:pPr>
                  <a:t>[PERCENTAGE]</a:t>
                </a:fld>
                <a:endParaRPr lang="en-US"/>
              </a:p>
            </c:rich>
          </c:tx>
          <c:numFmt formatCode="0.00%" sourceLinked="0"/>
          <c:spPr>
            <a:noFill/>
            <a:ln>
              <a:noFill/>
            </a:ln>
            <a:effectLst/>
          </c:spPr>
          <c:txPr>
            <a:bodyPr rot="0" spcFirstLastPara="1" vertOverflow="ellipsis" vert="horz" wrap="square" lIns="38100" tIns="19050" rIns="38100" bIns="19050" anchor="ctr" anchorCtr="0">
              <a:spAutoFit/>
            </a:bodyPr>
            <a:lstStyle/>
            <a:p>
              <a:pPr algn="ctr">
                <a:defRPr lang="en-US" sz="1400" b="0" i="0" u="none" strike="noStrike" kern="1200" baseline="0">
                  <a:solidFill>
                    <a:sysClr val="windowText" lastClr="000000">
                      <a:lumMod val="65000"/>
                      <a:lumOff val="35000"/>
                    </a:sys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2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s>
    <c:plotArea>
      <c:layout/>
      <c:pieChart>
        <c:varyColors val="1"/>
        <c:ser>
          <c:idx val="0"/>
          <c:order val="0"/>
          <c:tx>
            <c:strRef>
              <c:f>Calculation!$CD$5</c:f>
              <c:strCache>
                <c:ptCount val="1"/>
                <c:pt idx="0">
                  <c:v>Total</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01-35F2-4873-B579-D239CEE2801E}"/>
              </c:ext>
            </c:extLst>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c:ext xmlns:c16="http://schemas.microsoft.com/office/drawing/2014/chart" uri="{C3380CC4-5D6E-409C-BE32-E72D297353CC}">
                <c16:uniqueId val="{00000003-35F2-4873-B579-D239CEE2801E}"/>
              </c:ext>
            </c:extLst>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extLst>
              <c:ext xmlns:c16="http://schemas.microsoft.com/office/drawing/2014/chart" uri="{C3380CC4-5D6E-409C-BE32-E72D297353CC}">
                <c16:uniqueId val="{00000005-35F2-4873-B579-D239CEE2801E}"/>
              </c:ext>
            </c:extLst>
          </c:dPt>
          <c:dLbls>
            <c:dLbl>
              <c:idx val="0"/>
              <c:tx>
                <c:rich>
                  <a:bodyPr rot="0" spcFirstLastPara="1" vertOverflow="ellipsis" vert="horz" wrap="square" lIns="38100" tIns="19050" rIns="38100" bIns="19050" anchor="ctr" anchorCtr="0">
                    <a:spAutoFit/>
                  </a:bodyPr>
                  <a:lstStyle/>
                  <a:p>
                    <a:pPr algn="ctr">
                      <a:defRPr lang="en-US" sz="1400" b="0" i="0" u="none" strike="noStrike" kern="1200" baseline="0">
                        <a:solidFill>
                          <a:sysClr val="windowText" lastClr="000000">
                            <a:lumMod val="65000"/>
                            <a:lumOff val="35000"/>
                          </a:sysClr>
                        </a:solidFill>
                        <a:latin typeface="+mn-lt"/>
                        <a:ea typeface="+mn-ea"/>
                        <a:cs typeface="+mn-cs"/>
                      </a:defRPr>
                    </a:pPr>
                    <a:fld id="{EAEEDD49-9031-4D46-9C43-DD94FBA09114}" type="PERCENTAGE">
                      <a:rPr lang="en-US" sz="1400" b="0" i="0" u="none" strike="noStrike" kern="1200" baseline="0">
                        <a:solidFill>
                          <a:sysClr val="windowText" lastClr="000000">
                            <a:lumMod val="65000"/>
                            <a:lumOff val="35000"/>
                          </a:sysClr>
                        </a:solidFill>
                        <a:latin typeface="+mn-lt"/>
                        <a:ea typeface="+mn-ea"/>
                        <a:cs typeface="+mn-cs"/>
                      </a:rPr>
                      <a:pPr algn="ctr">
                        <a:defRPr lang="en-US" sz="1400">
                          <a:solidFill>
                            <a:sysClr val="windowText" lastClr="000000">
                              <a:lumMod val="65000"/>
                              <a:lumOff val="35000"/>
                            </a:sysClr>
                          </a:solidFill>
                        </a:defRPr>
                      </a:pPr>
                      <a:t>[PERCENTAGE]</a:t>
                    </a:fld>
                    <a:endParaRPr lang="en-US"/>
                  </a:p>
                </c:rich>
              </c:tx>
              <c:numFmt formatCode="0.00%" sourceLinked="0"/>
              <c:spPr>
                <a:noFill/>
                <a:ln>
                  <a:noFill/>
                </a:ln>
                <a:effectLst/>
              </c:spPr>
              <c:txPr>
                <a:bodyPr rot="0" spcFirstLastPara="1" vertOverflow="ellipsis" vert="horz" wrap="square" lIns="38100" tIns="19050" rIns="38100" bIns="19050" anchor="ctr" anchorCtr="0">
                  <a:spAutoFit/>
                </a:bodyPr>
                <a:lstStyle/>
                <a:p>
                  <a:pPr algn="ctr">
                    <a:defRPr lang="en-US" sz="1400" b="0" i="0" u="none" strike="noStrike" kern="1200" baseline="0">
                      <a:solidFill>
                        <a:sysClr val="windowText" lastClr="000000">
                          <a:lumMod val="65000"/>
                          <a:lumOff val="35000"/>
                        </a:sys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35F2-4873-B579-D239CEE2801E}"/>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Calculation!$CC$6:$CC$9</c:f>
              <c:strCache>
                <c:ptCount val="3"/>
                <c:pt idx="0">
                  <c:v>Los Angeles</c:v>
                </c:pt>
                <c:pt idx="1">
                  <c:v>New York</c:v>
                </c:pt>
                <c:pt idx="2">
                  <c:v>Chicago</c:v>
                </c:pt>
              </c:strCache>
            </c:strRef>
          </c:cat>
          <c:val>
            <c:numRef>
              <c:f>Calculation!$CD$6:$CD$9</c:f>
              <c:numCache>
                <c:formatCode>\$#,##0;\(\$#,##0\);\$#,##0</c:formatCode>
                <c:ptCount val="3"/>
                <c:pt idx="0">
                  <c:v>1048891</c:v>
                </c:pt>
                <c:pt idx="1">
                  <c:v>955413</c:v>
                </c:pt>
                <c:pt idx="2">
                  <c:v>931294</c:v>
                </c:pt>
              </c:numCache>
            </c:numRef>
          </c:val>
          <c:extLst>
            <c:ext xmlns:c16="http://schemas.microsoft.com/office/drawing/2014/chart" uri="{C3380CC4-5D6E-409C-BE32-E72D297353CC}">
              <c16:uniqueId val="{00000006-35F2-4873-B579-D239CEE2801E}"/>
            </c:ext>
          </c:extLst>
        </c:ser>
        <c:dLbls>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Board Employe Performance.xlsx]Calculation!CountByGender</c:name>
    <c:fmtId val="10"/>
  </c:pivotSource>
  <c:chart>
    <c:title>
      <c:tx>
        <c:rich>
          <a:bodyPr rot="0" spcFirstLastPara="1" vertOverflow="ellipsis" vert="horz" wrap="square" anchor="ctr" anchorCtr="1"/>
          <a:lstStyle/>
          <a:p>
            <a:pPr algn="ctr" rtl="0">
              <a:defRPr lang="en-US" sz="1800" b="0" i="0" u="none" strike="noStrike" kern="1200" cap="none" spc="20" baseline="0">
                <a:solidFill>
                  <a:schemeClr val="tx1"/>
                </a:solidFill>
                <a:latin typeface="+mn-lt"/>
                <a:ea typeface="+mn-ea"/>
                <a:cs typeface="+mn-cs"/>
              </a:defRPr>
            </a:pPr>
            <a:r>
              <a:rPr lang="en-US" sz="1800" b="0" i="0" u="none" strike="noStrike" kern="1200" cap="none" spc="20" baseline="0">
                <a:solidFill>
                  <a:schemeClr val="tx1"/>
                </a:solidFill>
                <a:latin typeface="+mn-lt"/>
                <a:ea typeface="+mn-ea"/>
                <a:cs typeface="+mn-cs"/>
              </a:rPr>
              <a:t>Total Male</a:t>
            </a:r>
          </a:p>
        </c:rich>
      </c:tx>
      <c:overlay val="0"/>
      <c:spPr>
        <a:noFill/>
        <a:ln>
          <a:noFill/>
        </a:ln>
        <a:effectLst/>
      </c:spPr>
      <c:txPr>
        <a:bodyPr rot="0" spcFirstLastPara="1" vertOverflow="ellipsis" vert="horz" wrap="square" anchor="ctr" anchorCtr="1"/>
        <a:lstStyle/>
        <a:p>
          <a:pPr algn="ctr" rtl="0">
            <a:defRPr lang="en-US" sz="1800" b="0" i="0" u="none" strike="noStrike" kern="1200" cap="none" spc="20" baseline="0">
              <a:solidFill>
                <a:schemeClr val="tx1"/>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marker>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2.7777777777777779E-3"/>
              <c:y val="-0.27314814814814814"/>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fld id="{37BCC135-443A-43C5-AEC6-D49502AEC155}" type="VALUE">
                  <a:rPr lang="en-US" sz="2000" b="1">
                    <a:solidFill>
                      <a:schemeClr val="tx1"/>
                    </a:solidFill>
                  </a:rPr>
                  <a:pPr>
                    <a:defRPr sz="900" b="0" i="0" u="none" strike="noStrike" kern="1200" baseline="0">
                      <a:solidFill>
                        <a:schemeClr val="tx1">
                          <a:lumMod val="65000"/>
                          <a:lumOff val="3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1.9444444444444393E-2"/>
              <c:y val="-0.26759273840769904"/>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fld id="{37BCC135-443A-43C5-AEC6-D49502AEC155}" type="VALUE">
                  <a:rPr lang="en-US" sz="1800" b="1">
                    <a:solidFill>
                      <a:schemeClr val="tx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Calculation!$B$32</c:f>
              <c:strCache>
                <c:ptCount val="1"/>
                <c:pt idx="0">
                  <c:v>Total</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01-170F-4A69-B33F-3BEFF4E88441}"/>
              </c:ext>
            </c:extLst>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c:ext xmlns:c16="http://schemas.microsoft.com/office/drawing/2014/chart" uri="{C3380CC4-5D6E-409C-BE32-E72D297353CC}">
                <c16:uniqueId val="{00000003-170F-4A69-B33F-3BEFF4E88441}"/>
              </c:ext>
            </c:extLst>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extLst>
              <c:ext xmlns:c16="http://schemas.microsoft.com/office/drawing/2014/chart" uri="{C3380CC4-5D6E-409C-BE32-E72D297353CC}">
                <c16:uniqueId val="{00000005-170F-4A69-B33F-3BEFF4E88441}"/>
              </c:ext>
            </c:extLst>
          </c:dPt>
          <c:dLbls>
            <c:dLbl>
              <c:idx val="0"/>
              <c:delete val="1"/>
              <c:extLst>
                <c:ext xmlns:c15="http://schemas.microsoft.com/office/drawing/2012/chart" uri="{CE6537A1-D6FC-4f65-9D91-7224C49458BB}"/>
                <c:ext xmlns:c16="http://schemas.microsoft.com/office/drawing/2014/chart" uri="{C3380CC4-5D6E-409C-BE32-E72D297353CC}">
                  <c16:uniqueId val="{00000001-170F-4A69-B33F-3BEFF4E88441}"/>
                </c:ext>
              </c:extLst>
            </c:dLbl>
            <c:dLbl>
              <c:idx val="1"/>
              <c:layout>
                <c:manualLayout>
                  <c:x val="1.9444444444444393E-2"/>
                  <c:y val="-0.26759273840769904"/>
                </c:manualLayout>
              </c:layout>
              <c:tx>
                <c:rich>
                  <a:bodyPr/>
                  <a:lstStyle/>
                  <a:p>
                    <a:fld id="{37BCC135-443A-43C5-AEC6-D49502AEC155}" type="VALUE">
                      <a:rPr lang="en-US" sz="1800" b="1">
                        <a:solidFill>
                          <a:schemeClr val="tx1"/>
                        </a:solidFill>
                      </a:rPr>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170F-4A69-B33F-3BEFF4E88441}"/>
                </c:ext>
              </c:extLst>
            </c:dLbl>
            <c:dLbl>
              <c:idx val="2"/>
              <c:delete val="1"/>
              <c:extLst>
                <c:ext xmlns:c15="http://schemas.microsoft.com/office/drawing/2012/chart" uri="{CE6537A1-D6FC-4f65-9D91-7224C49458BB}"/>
                <c:ext xmlns:c16="http://schemas.microsoft.com/office/drawing/2014/chart" uri="{C3380CC4-5D6E-409C-BE32-E72D297353CC}">
                  <c16:uniqueId val="{00000005-170F-4A69-B33F-3BEFF4E8844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Calculation!$A$33:$A$36</c:f>
              <c:strCache>
                <c:ptCount val="3"/>
                <c:pt idx="0">
                  <c:v>Female</c:v>
                </c:pt>
                <c:pt idx="1">
                  <c:v>Male</c:v>
                </c:pt>
                <c:pt idx="2">
                  <c:v>Other</c:v>
                </c:pt>
              </c:strCache>
            </c:strRef>
          </c:cat>
          <c:val>
            <c:numRef>
              <c:f>Calculation!$B$33:$B$36</c:f>
              <c:numCache>
                <c:formatCode>General</c:formatCode>
                <c:ptCount val="3"/>
                <c:pt idx="0">
                  <c:v>169</c:v>
                </c:pt>
                <c:pt idx="1">
                  <c:v>176</c:v>
                </c:pt>
                <c:pt idx="2">
                  <c:v>156</c:v>
                </c:pt>
              </c:numCache>
            </c:numRef>
          </c:val>
          <c:extLst>
            <c:ext xmlns:c16="http://schemas.microsoft.com/office/drawing/2014/chart" uri="{C3380CC4-5D6E-409C-BE32-E72D297353CC}">
              <c16:uniqueId val="{00000006-170F-4A69-B33F-3BEFF4E88441}"/>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Board Employe Performance.xlsx]Calculation!CountByGender</c:name>
    <c:fmtId val="11"/>
  </c:pivotSource>
  <c:chart>
    <c:title>
      <c:tx>
        <c:rich>
          <a:bodyPr rot="0" spcFirstLastPara="1" vertOverflow="ellipsis" vert="horz" wrap="square" anchor="ctr" anchorCtr="1"/>
          <a:lstStyle/>
          <a:p>
            <a:pPr algn="ctr" rtl="0">
              <a:defRPr lang="en-US" sz="1800" b="0" i="0" u="none" strike="noStrike" kern="1200" cap="none" spc="20" baseline="0">
                <a:solidFill>
                  <a:schemeClr val="tx1"/>
                </a:solidFill>
                <a:latin typeface="+mn-lt"/>
                <a:ea typeface="+mn-ea"/>
                <a:cs typeface="+mn-cs"/>
              </a:defRPr>
            </a:pPr>
            <a:r>
              <a:rPr lang="en-US" sz="1800" b="0" i="0" u="none" strike="noStrike" kern="1200" cap="none" spc="20" baseline="0">
                <a:solidFill>
                  <a:schemeClr val="tx1"/>
                </a:solidFill>
                <a:latin typeface="+mn-lt"/>
                <a:ea typeface="+mn-ea"/>
                <a:cs typeface="+mn-cs"/>
              </a:rPr>
              <a:t>Other</a:t>
            </a:r>
          </a:p>
        </c:rich>
      </c:tx>
      <c:overlay val="0"/>
      <c:spPr>
        <a:noFill/>
        <a:ln>
          <a:noFill/>
        </a:ln>
        <a:effectLst/>
      </c:spPr>
      <c:txPr>
        <a:bodyPr rot="0" spcFirstLastPara="1" vertOverflow="ellipsis" vert="horz" wrap="square" anchor="ctr" anchorCtr="1"/>
        <a:lstStyle/>
        <a:p>
          <a:pPr algn="ctr" rtl="0">
            <a:defRPr lang="en-US" sz="1800" b="0" i="0" u="none" strike="noStrike" kern="1200" cap="none" spc="20" baseline="0">
              <a:solidFill>
                <a:schemeClr val="tx1"/>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marker>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2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9.0909090909090912E-2"/>
              <c:y val="-0.15740740740740744"/>
            </c:manualLayout>
          </c:layout>
          <c:spPr>
            <a:noFill/>
            <a:ln>
              <a:noFill/>
            </a:ln>
            <a:effectLst/>
          </c:spPr>
          <c:txPr>
            <a:bodyPr rot="0" spcFirstLastPara="1" vertOverflow="ellipsis" vert="horz" wrap="square" lIns="38100" tIns="19050" rIns="38100" bIns="19050" anchor="ctr" anchorCtr="1">
              <a:noAutofit/>
            </a:bodyPr>
            <a:lstStyle/>
            <a:p>
              <a:pPr>
                <a:defRPr lang="en-US" sz="20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18909090909090909"/>
                  <c:h val="0.27770851560221638"/>
                </c:manualLayout>
              </c15:layout>
            </c:ext>
          </c:extLst>
        </c:dLbl>
      </c:pivotFmt>
      <c:pivotFmt>
        <c:idx val="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0.25974025974025972"/>
              <c:y val="0.10648148148148148"/>
            </c:manualLayout>
          </c:layout>
          <c:spPr>
            <a:noFill/>
            <a:ln>
              <a:noFill/>
            </a:ln>
            <a:effectLst/>
          </c:spPr>
          <c:txPr>
            <a:bodyPr rot="0" spcFirstLastPara="1" vertOverflow="ellipsis" vert="horz" wrap="square" lIns="38100" tIns="19050" rIns="38100" bIns="19050" anchor="ctr" anchorCtr="1">
              <a:spAutoFit/>
            </a:bodyPr>
            <a:lstStyle/>
            <a:p>
              <a:pPr>
                <a:defRPr lang="en-US" sz="20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0.21645021645021645"/>
              <c:y val="0.14814814814814806"/>
            </c:manualLayout>
          </c:layout>
          <c:spPr>
            <a:noFill/>
            <a:ln>
              <a:noFill/>
            </a:ln>
            <a:effectLst/>
          </c:spPr>
          <c:txPr>
            <a:bodyPr rot="0" spcFirstLastPara="1" vertOverflow="ellipsis" vert="horz" wrap="square" lIns="38100" tIns="19050" rIns="38100" bIns="19050" anchor="ctr" anchorCtr="1">
              <a:spAutoFit/>
            </a:bodyPr>
            <a:lstStyle/>
            <a:p>
              <a:pPr>
                <a:defRPr lang="en-US" sz="2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2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20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18909090909090909"/>
                  <c:h val="0.27770851560221638"/>
                </c:manualLayout>
              </c15:layout>
            </c:ext>
          </c:extLst>
        </c:dLbl>
      </c:pivotFmt>
      <c:pivotFmt>
        <c:idx val="1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20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0.21645021645021645"/>
              <c:y val="0.14814814814814806"/>
            </c:manualLayout>
          </c:layout>
          <c:spPr>
            <a:noFill/>
            <a:ln>
              <a:noFill/>
            </a:ln>
            <a:effectLst/>
          </c:spPr>
          <c:txPr>
            <a:bodyPr rot="0" spcFirstLastPara="1" vertOverflow="ellipsis" vert="horz" wrap="square" lIns="38100" tIns="19050" rIns="38100" bIns="19050" anchor="ctr" anchorCtr="1">
              <a:spAutoFit/>
            </a:bodyPr>
            <a:lstStyle/>
            <a:p>
              <a:pPr>
                <a:defRPr lang="en-US" sz="2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18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18909090909090909"/>
                  <c:h val="0.27770851560221638"/>
                </c:manualLayout>
              </c15:layout>
            </c:ext>
          </c:extLst>
        </c:dLbl>
      </c:pivotFmt>
      <c:pivotFmt>
        <c:idx val="1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18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0.2275612423447069"/>
              <c:y val="0.14259273840769904"/>
            </c:manualLayout>
          </c:layout>
          <c:spPr>
            <a:noFill/>
            <a:ln>
              <a:noFill/>
            </a:ln>
            <a:effectLst/>
          </c:spPr>
          <c:txPr>
            <a:bodyPr rot="0" spcFirstLastPara="1" vertOverflow="ellipsis" vert="horz" wrap="square" lIns="38100" tIns="19050" rIns="38100" bIns="19050" anchor="ctr" anchorCtr="1">
              <a:spAutoFit/>
            </a:bodyPr>
            <a:lstStyle/>
            <a:p>
              <a:pPr>
                <a:defRPr lang="en-US" sz="1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Calculation!$B$32</c:f>
              <c:strCache>
                <c:ptCount val="1"/>
                <c:pt idx="0">
                  <c:v>Total</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01-7692-4C6E-AA18-CCFAC9228C55}"/>
              </c:ext>
            </c:extLst>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c:ext xmlns:c16="http://schemas.microsoft.com/office/drawing/2014/chart" uri="{C3380CC4-5D6E-409C-BE32-E72D297353CC}">
                <c16:uniqueId val="{00000003-7692-4C6E-AA18-CCFAC9228C55}"/>
              </c:ext>
            </c:extLst>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extLst>
              <c:ext xmlns:c16="http://schemas.microsoft.com/office/drawing/2014/chart" uri="{C3380CC4-5D6E-409C-BE32-E72D297353CC}">
                <c16:uniqueId val="{00000005-7692-4C6E-AA18-CCFAC9228C55}"/>
              </c:ext>
            </c:extLst>
          </c:dPt>
          <c:dLbls>
            <c:dLbl>
              <c:idx val="0"/>
              <c:delete val="1"/>
              <c:extLst>
                <c:ext xmlns:c15="http://schemas.microsoft.com/office/drawing/2012/chart" uri="{CE6537A1-D6FC-4f65-9D91-7224C49458BB}">
                  <c15:layout>
                    <c:manualLayout>
                      <c:w val="0.18909090909090909"/>
                      <c:h val="0.27770851560221638"/>
                    </c:manualLayout>
                  </c15:layout>
                </c:ext>
                <c:ext xmlns:c16="http://schemas.microsoft.com/office/drawing/2014/chart" uri="{C3380CC4-5D6E-409C-BE32-E72D297353CC}">
                  <c16:uniqueId val="{00000001-7692-4C6E-AA18-CCFAC9228C55}"/>
                </c:ext>
              </c:extLst>
            </c:dLbl>
            <c:dLbl>
              <c:idx val="1"/>
              <c:delete val="1"/>
              <c:extLst>
                <c:ext xmlns:c15="http://schemas.microsoft.com/office/drawing/2012/chart" uri="{CE6537A1-D6FC-4f65-9D91-7224C49458BB}"/>
                <c:ext xmlns:c16="http://schemas.microsoft.com/office/drawing/2014/chart" uri="{C3380CC4-5D6E-409C-BE32-E72D297353CC}">
                  <c16:uniqueId val="{00000003-7692-4C6E-AA18-CCFAC9228C55}"/>
                </c:ext>
              </c:extLst>
            </c:dLbl>
            <c:dLbl>
              <c:idx val="2"/>
              <c:layout>
                <c:manualLayout>
                  <c:x val="0.2275612423447069"/>
                  <c:y val="0.1425927384076990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692-4C6E-AA18-CCFAC9228C55}"/>
                </c:ext>
              </c:extLst>
            </c:dLbl>
            <c:spPr>
              <a:noFill/>
              <a:ln>
                <a:noFill/>
              </a:ln>
              <a:effectLst/>
            </c:spPr>
            <c:txPr>
              <a:bodyPr rot="0" spcFirstLastPara="1" vertOverflow="ellipsis" vert="horz" wrap="square" lIns="38100" tIns="19050" rIns="38100" bIns="19050" anchor="ctr" anchorCtr="1">
                <a:spAutoFit/>
              </a:bodyPr>
              <a:lstStyle/>
              <a:p>
                <a:pPr>
                  <a:defRPr lang="en-US" sz="1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Calculation!$A$33:$A$36</c:f>
              <c:strCache>
                <c:ptCount val="3"/>
                <c:pt idx="0">
                  <c:v>Female</c:v>
                </c:pt>
                <c:pt idx="1">
                  <c:v>Male</c:v>
                </c:pt>
                <c:pt idx="2">
                  <c:v>Other</c:v>
                </c:pt>
              </c:strCache>
            </c:strRef>
          </c:cat>
          <c:val>
            <c:numRef>
              <c:f>Calculation!$B$33:$B$36</c:f>
              <c:numCache>
                <c:formatCode>General</c:formatCode>
                <c:ptCount val="3"/>
                <c:pt idx="0">
                  <c:v>169</c:v>
                </c:pt>
                <c:pt idx="1">
                  <c:v>176</c:v>
                </c:pt>
                <c:pt idx="2">
                  <c:v>156</c:v>
                </c:pt>
              </c:numCache>
            </c:numRef>
          </c:val>
          <c:extLst>
            <c:ext xmlns:c16="http://schemas.microsoft.com/office/drawing/2014/chart" uri="{C3380CC4-5D6E-409C-BE32-E72D297353CC}">
              <c16:uniqueId val="{00000006-7692-4C6E-AA18-CCFAC9228C55}"/>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Board Employe Performance.xlsx]Calculation!CountByGender</c:name>
    <c:fmtId val="12"/>
  </c:pivotSource>
  <c:chart>
    <c:title>
      <c:tx>
        <c:rich>
          <a:bodyPr rot="0" spcFirstLastPara="1" vertOverflow="ellipsis" vert="horz" wrap="square" anchor="ctr" anchorCtr="1"/>
          <a:lstStyle/>
          <a:p>
            <a:pPr algn="ctr" rtl="0">
              <a:defRPr lang="en-US" sz="1800" b="0" i="0" u="none" strike="noStrike" kern="1200" cap="none" spc="20" baseline="0">
                <a:solidFill>
                  <a:schemeClr val="tx1"/>
                </a:solidFill>
                <a:latin typeface="+mn-lt"/>
                <a:ea typeface="+mn-ea"/>
                <a:cs typeface="+mn-cs"/>
              </a:defRPr>
            </a:pPr>
            <a:r>
              <a:rPr lang="en-US" sz="1800" b="0" i="0" u="none" strike="noStrike" kern="1200" cap="none" spc="20" baseline="0">
                <a:solidFill>
                  <a:schemeClr val="tx1"/>
                </a:solidFill>
                <a:latin typeface="+mn-lt"/>
                <a:ea typeface="+mn-ea"/>
                <a:cs typeface="+mn-cs"/>
              </a:rPr>
              <a:t>Total Female</a:t>
            </a:r>
          </a:p>
        </c:rich>
      </c:tx>
      <c:overlay val="0"/>
      <c:spPr>
        <a:noFill/>
        <a:ln>
          <a:noFill/>
        </a:ln>
        <a:effectLst/>
      </c:spPr>
      <c:txPr>
        <a:bodyPr rot="0" spcFirstLastPara="1" vertOverflow="ellipsis" vert="horz" wrap="square" anchor="ctr" anchorCtr="1"/>
        <a:lstStyle/>
        <a:p>
          <a:pPr algn="ctr" rtl="0">
            <a:defRPr lang="en-US" sz="1800" b="0" i="0" u="none" strike="noStrike" kern="1200" cap="none" spc="20" baseline="0">
              <a:solidFill>
                <a:schemeClr val="tx1"/>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marker>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2.7777777777777779E-3"/>
              <c:y val="-0.27314814814814814"/>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fld id="{37BCC135-443A-43C5-AEC6-D49502AEC155}" type="VALUE">
                  <a:rPr lang="en-US" sz="2000" b="1">
                    <a:solidFill>
                      <a:schemeClr val="tx1"/>
                    </a:solidFill>
                  </a:rPr>
                  <a:pPr>
                    <a:defRPr sz="900" b="0" i="0" u="none" strike="noStrike" kern="1200" baseline="0">
                      <a:solidFill>
                        <a:schemeClr val="tx1">
                          <a:lumMod val="65000"/>
                          <a:lumOff val="3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2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0.26406926406926406"/>
              <c:y val="0.11574074074074066"/>
            </c:manualLayout>
          </c:layout>
          <c:spPr>
            <a:noFill/>
            <a:ln>
              <a:noFill/>
            </a:ln>
            <a:effectLst/>
          </c:spPr>
          <c:txPr>
            <a:bodyPr rot="0" spcFirstLastPara="1" vertOverflow="ellipsis" vert="horz" wrap="square" lIns="38100" tIns="19050" rIns="38100" bIns="19050" anchor="ctr" anchorCtr="0">
              <a:spAutoFit/>
            </a:bodyPr>
            <a:lstStyle/>
            <a:p>
              <a:pPr algn="ctr">
                <a:defRPr lang="en-US" sz="2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5.627705627705628E-2"/>
              <c:y val="-0.11574074074074074"/>
            </c:manualLayout>
          </c:layout>
          <c:spPr>
            <a:noFill/>
            <a:ln>
              <a:noFill/>
            </a:ln>
            <a:effectLst/>
          </c:spPr>
          <c:txPr>
            <a:bodyPr rot="0" spcFirstLastPara="1" vertOverflow="ellipsis" vert="horz" wrap="square" lIns="38100" tIns="19050" rIns="38100" bIns="19050" anchor="ctr" anchorCtr="0">
              <a:spAutoFit/>
            </a:bodyPr>
            <a:lstStyle/>
            <a:p>
              <a:pPr algn="ctr">
                <a:defRPr lang="en-US" sz="20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0.12987012987012986"/>
              <c:y val="-0.17592592592592596"/>
            </c:manualLayout>
          </c:layout>
          <c:spPr>
            <a:noFill/>
            <a:ln>
              <a:noFill/>
            </a:ln>
            <a:effectLst/>
          </c:spPr>
          <c:txPr>
            <a:bodyPr rot="0" spcFirstLastPara="1" vertOverflow="ellipsis" vert="horz" wrap="square" lIns="38100" tIns="19050" rIns="38100" bIns="19050" anchor="ctr" anchorCtr="0">
              <a:spAutoFit/>
            </a:bodyPr>
            <a:lstStyle/>
            <a:p>
              <a:pPr algn="ctr">
                <a:defRPr lang="en-US" sz="20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2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0.26406926406926406"/>
              <c:y val="0.11574074074074066"/>
            </c:manualLayout>
          </c:layout>
          <c:spPr>
            <a:noFill/>
            <a:ln>
              <a:noFill/>
            </a:ln>
            <a:effectLst/>
          </c:spPr>
          <c:txPr>
            <a:bodyPr rot="0" spcFirstLastPara="1" vertOverflow="ellipsis" vert="horz" wrap="square" lIns="38100" tIns="19050" rIns="38100" bIns="19050" anchor="ctr" anchorCtr="0">
              <a:spAutoFit/>
            </a:bodyPr>
            <a:lstStyle/>
            <a:p>
              <a:pPr algn="ctr">
                <a:defRPr lang="en-US" sz="2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spPr>
            <a:noFill/>
            <a:ln>
              <a:noFill/>
            </a:ln>
            <a:effectLst/>
          </c:spPr>
          <c:txPr>
            <a:bodyPr rot="0" spcFirstLastPara="1" vertOverflow="ellipsis" vert="horz" wrap="square" lIns="38100" tIns="19050" rIns="38100" bIns="19050" anchor="ctr" anchorCtr="0">
              <a:spAutoFit/>
            </a:bodyPr>
            <a:lstStyle/>
            <a:p>
              <a:pPr algn="ctr">
                <a:defRPr lang="en-US" sz="20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spPr>
            <a:noFill/>
            <a:ln>
              <a:noFill/>
            </a:ln>
            <a:effectLst/>
          </c:spPr>
          <c:txPr>
            <a:bodyPr rot="0" spcFirstLastPara="1" vertOverflow="ellipsis" vert="horz" wrap="square" lIns="38100" tIns="19050" rIns="38100" bIns="19050" anchor="ctr" anchorCtr="0">
              <a:spAutoFit/>
            </a:bodyPr>
            <a:lstStyle/>
            <a:p>
              <a:pPr algn="ctr">
                <a:defRPr lang="en-US" sz="20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0.26406926406926406"/>
              <c:y val="0.11574074074074066"/>
            </c:manualLayout>
          </c:layout>
          <c:spPr>
            <a:noFill/>
            <a:ln>
              <a:noFill/>
            </a:ln>
            <a:effectLst/>
          </c:spPr>
          <c:txPr>
            <a:bodyPr rot="0" spcFirstLastPara="1" vertOverflow="ellipsis" vert="horz" wrap="square" lIns="38100" tIns="19050" rIns="38100" bIns="19050" anchor="ctr" anchorCtr="0">
              <a:spAutoFit/>
            </a:bodyPr>
            <a:lstStyle/>
            <a:p>
              <a:pPr algn="ctr">
                <a:defRPr lang="en-US" sz="1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spPr>
            <a:noFill/>
            <a:ln>
              <a:noFill/>
            </a:ln>
            <a:effectLst/>
          </c:spPr>
          <c:txPr>
            <a:bodyPr rot="0" spcFirstLastPara="1" vertOverflow="ellipsis" vert="horz" wrap="square" lIns="38100" tIns="19050" rIns="38100" bIns="19050" anchor="ctr" anchorCtr="0">
              <a:spAutoFit/>
            </a:bodyPr>
            <a:lstStyle/>
            <a:p>
              <a:pPr algn="ctr">
                <a:defRPr lang="en-US" sz="18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spPr>
            <a:noFill/>
            <a:ln>
              <a:noFill/>
            </a:ln>
            <a:effectLst/>
          </c:spPr>
          <c:txPr>
            <a:bodyPr rot="0" spcFirstLastPara="1" vertOverflow="ellipsis" vert="horz" wrap="square" lIns="38100" tIns="19050" rIns="38100" bIns="19050" anchor="ctr" anchorCtr="0">
              <a:spAutoFit/>
            </a:bodyPr>
            <a:lstStyle/>
            <a:p>
              <a:pPr algn="ctr">
                <a:defRPr lang="en-US" sz="18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Calculation!$B$32</c:f>
              <c:strCache>
                <c:ptCount val="1"/>
                <c:pt idx="0">
                  <c:v>Total</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01-2608-44B8-9DB6-02FE9105E8EC}"/>
              </c:ext>
            </c:extLst>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c:ext xmlns:c16="http://schemas.microsoft.com/office/drawing/2014/chart" uri="{C3380CC4-5D6E-409C-BE32-E72D297353CC}">
                <c16:uniqueId val="{00000003-2608-44B8-9DB6-02FE9105E8EC}"/>
              </c:ext>
            </c:extLst>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extLst>
              <c:ext xmlns:c16="http://schemas.microsoft.com/office/drawing/2014/chart" uri="{C3380CC4-5D6E-409C-BE32-E72D297353CC}">
                <c16:uniqueId val="{00000005-2608-44B8-9DB6-02FE9105E8EC}"/>
              </c:ext>
            </c:extLst>
          </c:dPt>
          <c:dLbls>
            <c:dLbl>
              <c:idx val="0"/>
              <c:layout>
                <c:manualLayout>
                  <c:x val="-0.26406926406926406"/>
                  <c:y val="0.1157407407407406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608-44B8-9DB6-02FE9105E8EC}"/>
                </c:ext>
              </c:extLst>
            </c:dLbl>
            <c:dLbl>
              <c:idx val="1"/>
              <c:delete val="1"/>
              <c:extLst>
                <c:ext xmlns:c15="http://schemas.microsoft.com/office/drawing/2012/chart" uri="{CE6537A1-D6FC-4f65-9D91-7224C49458BB}"/>
                <c:ext xmlns:c16="http://schemas.microsoft.com/office/drawing/2014/chart" uri="{C3380CC4-5D6E-409C-BE32-E72D297353CC}">
                  <c16:uniqueId val="{00000003-2608-44B8-9DB6-02FE9105E8EC}"/>
                </c:ext>
              </c:extLst>
            </c:dLbl>
            <c:dLbl>
              <c:idx val="2"/>
              <c:delete val="1"/>
              <c:extLst>
                <c:ext xmlns:c15="http://schemas.microsoft.com/office/drawing/2012/chart" uri="{CE6537A1-D6FC-4f65-9D91-7224C49458BB}"/>
                <c:ext xmlns:c16="http://schemas.microsoft.com/office/drawing/2014/chart" uri="{C3380CC4-5D6E-409C-BE32-E72D297353CC}">
                  <c16:uniqueId val="{00000005-2608-44B8-9DB6-02FE9105E8EC}"/>
                </c:ext>
              </c:extLst>
            </c:dLbl>
            <c:spPr>
              <a:noFill/>
              <a:ln>
                <a:noFill/>
              </a:ln>
              <a:effectLst/>
            </c:spPr>
            <c:txPr>
              <a:bodyPr rot="0" spcFirstLastPara="1" vertOverflow="ellipsis" vert="horz" wrap="square" lIns="38100" tIns="19050" rIns="38100" bIns="19050" anchor="ctr" anchorCtr="0">
                <a:spAutoFit/>
              </a:bodyPr>
              <a:lstStyle/>
              <a:p>
                <a:pPr algn="ctr">
                  <a:defRPr lang="en-US" sz="1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Calculation!$A$33:$A$36</c:f>
              <c:strCache>
                <c:ptCount val="3"/>
                <c:pt idx="0">
                  <c:v>Female</c:v>
                </c:pt>
                <c:pt idx="1">
                  <c:v>Male</c:v>
                </c:pt>
                <c:pt idx="2">
                  <c:v>Other</c:v>
                </c:pt>
              </c:strCache>
            </c:strRef>
          </c:cat>
          <c:val>
            <c:numRef>
              <c:f>Calculation!$B$33:$B$36</c:f>
              <c:numCache>
                <c:formatCode>General</c:formatCode>
                <c:ptCount val="3"/>
                <c:pt idx="0">
                  <c:v>169</c:v>
                </c:pt>
                <c:pt idx="1">
                  <c:v>176</c:v>
                </c:pt>
                <c:pt idx="2">
                  <c:v>156</c:v>
                </c:pt>
              </c:numCache>
            </c:numRef>
          </c:val>
          <c:extLst>
            <c:ext xmlns:c16="http://schemas.microsoft.com/office/drawing/2014/chart" uri="{C3380CC4-5D6E-409C-BE32-E72D297353CC}">
              <c16:uniqueId val="{00000006-2608-44B8-9DB6-02FE9105E8EC}"/>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Board Employe Performance.xlsx]Calculation!CountEmployeesPerSesion</c:name>
    <c:fmtId val="7"/>
  </c:pivotSource>
  <c:chart>
    <c:title>
      <c:tx>
        <c:rich>
          <a:bodyPr rot="0" spcFirstLastPara="1" vertOverflow="ellipsis" vert="horz" wrap="square" anchor="ctr" anchorCtr="1"/>
          <a:lstStyle/>
          <a:p>
            <a:pPr>
              <a:defRPr lang="en-US" sz="1800" b="0" i="0" u="none" strike="noStrike" kern="1200" cap="none" spc="20" baseline="0">
                <a:solidFill>
                  <a:schemeClr val="tx1"/>
                </a:solidFill>
                <a:latin typeface="+mn-lt"/>
                <a:ea typeface="+mn-ea"/>
                <a:cs typeface="+mn-cs"/>
              </a:defRPr>
            </a:pPr>
            <a:r>
              <a:rPr lang="en-US" sz="1800" b="0" i="0" u="none" strike="noStrike" kern="1200" cap="none" spc="20" baseline="0">
                <a:solidFill>
                  <a:schemeClr val="tx1"/>
                </a:solidFill>
                <a:latin typeface="+mn-lt"/>
                <a:ea typeface="+mn-ea"/>
                <a:cs typeface="+mn-cs"/>
              </a:rPr>
              <a:t>Count Employees Per Sesion</a:t>
            </a:r>
          </a:p>
        </c:rich>
      </c:tx>
      <c:overlay val="0"/>
      <c:spPr>
        <a:noFill/>
        <a:ln>
          <a:noFill/>
        </a:ln>
        <a:effectLst/>
      </c:sp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Calculation!$CN$5</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Calculation!$CM$6:$CM$9</c:f>
              <c:strCache>
                <c:ptCount val="3"/>
                <c:pt idx="0">
                  <c:v>Morning</c:v>
                </c:pt>
                <c:pt idx="1">
                  <c:v>Night</c:v>
                </c:pt>
                <c:pt idx="2">
                  <c:v>Evening</c:v>
                </c:pt>
              </c:strCache>
            </c:strRef>
          </c:cat>
          <c:val>
            <c:numRef>
              <c:f>Calculation!$CN$6:$CN$9</c:f>
              <c:numCache>
                <c:formatCode>General</c:formatCode>
                <c:ptCount val="3"/>
                <c:pt idx="0">
                  <c:v>159</c:v>
                </c:pt>
                <c:pt idx="1">
                  <c:v>168</c:v>
                </c:pt>
                <c:pt idx="2">
                  <c:v>174</c:v>
                </c:pt>
              </c:numCache>
            </c:numRef>
          </c:val>
          <c:extLst>
            <c:ext xmlns:c16="http://schemas.microsoft.com/office/drawing/2014/chart" uri="{C3380CC4-5D6E-409C-BE32-E72D297353CC}">
              <c16:uniqueId val="{00000000-027E-474E-9E2D-0ACD89C1070F}"/>
            </c:ext>
          </c:extLst>
        </c:ser>
        <c:dLbls>
          <c:dLblPos val="outEnd"/>
          <c:showLegendKey val="0"/>
          <c:showVal val="1"/>
          <c:showCatName val="0"/>
          <c:showSerName val="0"/>
          <c:showPercent val="0"/>
          <c:showBubbleSize val="0"/>
        </c:dLbls>
        <c:gapWidth val="100"/>
        <c:axId val="1689530448"/>
        <c:axId val="1689524208"/>
      </c:barChart>
      <c:catAx>
        <c:axId val="1689530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689524208"/>
        <c:crosses val="autoZero"/>
        <c:auto val="1"/>
        <c:lblAlgn val="ctr"/>
        <c:lblOffset val="100"/>
        <c:noMultiLvlLbl val="0"/>
      </c:catAx>
      <c:valAx>
        <c:axId val="1689524208"/>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689530448"/>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68</xdr:col>
      <xdr:colOff>495300</xdr:colOff>
      <xdr:row>11</xdr:row>
      <xdr:rowOff>11430</xdr:rowOff>
    </xdr:from>
    <xdr:to>
      <xdr:col>71</xdr:col>
      <xdr:colOff>152400</xdr:colOff>
      <xdr:row>21</xdr:row>
      <xdr:rowOff>91440</xdr:rowOff>
    </xdr:to>
    <xdr:graphicFrame macro="">
      <xdr:nvGraphicFramePr>
        <xdr:cNvPr id="2" name="Chart 1">
          <a:extLst>
            <a:ext uri="{FF2B5EF4-FFF2-40B4-BE49-F238E27FC236}">
              <a16:creationId xmlns:a16="http://schemas.microsoft.com/office/drawing/2014/main" id="{09BCAC02-A1EB-0CF5-9A96-BF847C232C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76</xdr:col>
      <xdr:colOff>1013460</xdr:colOff>
      <xdr:row>11</xdr:row>
      <xdr:rowOff>106680</xdr:rowOff>
    </xdr:from>
    <xdr:to>
      <xdr:col>79</xdr:col>
      <xdr:colOff>327660</xdr:colOff>
      <xdr:row>22</xdr:row>
      <xdr:rowOff>53340</xdr:rowOff>
    </xdr:to>
    <xdr:graphicFrame macro="">
      <xdr:nvGraphicFramePr>
        <xdr:cNvPr id="7" name="Chart 6">
          <a:extLst>
            <a:ext uri="{FF2B5EF4-FFF2-40B4-BE49-F238E27FC236}">
              <a16:creationId xmlns:a16="http://schemas.microsoft.com/office/drawing/2014/main" id="{6E52F667-5315-4179-839E-9C3AA2861E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87</xdr:col>
      <xdr:colOff>22860</xdr:colOff>
      <xdr:row>12</xdr:row>
      <xdr:rowOff>60960</xdr:rowOff>
    </xdr:from>
    <xdr:to>
      <xdr:col>93</xdr:col>
      <xdr:colOff>205740</xdr:colOff>
      <xdr:row>27</xdr:row>
      <xdr:rowOff>60960</xdr:rowOff>
    </xdr:to>
    <xdr:graphicFrame macro="">
      <xdr:nvGraphicFramePr>
        <xdr:cNvPr id="8" name="Chart 7">
          <a:extLst>
            <a:ext uri="{FF2B5EF4-FFF2-40B4-BE49-F238E27FC236}">
              <a16:creationId xmlns:a16="http://schemas.microsoft.com/office/drawing/2014/main" id="{0B7FD815-FC48-30ED-DC41-33F5EDC20D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563880</xdr:colOff>
      <xdr:row>25</xdr:row>
      <xdr:rowOff>57150</xdr:rowOff>
    </xdr:from>
    <xdr:to>
      <xdr:col>9</xdr:col>
      <xdr:colOff>1935480</xdr:colOff>
      <xdr:row>36</xdr:row>
      <xdr:rowOff>121920</xdr:rowOff>
    </xdr:to>
    <xdr:graphicFrame macro="">
      <xdr:nvGraphicFramePr>
        <xdr:cNvPr id="10" name="Chart 9">
          <a:extLst>
            <a:ext uri="{FF2B5EF4-FFF2-40B4-BE49-F238E27FC236}">
              <a16:creationId xmlns:a16="http://schemas.microsoft.com/office/drawing/2014/main" id="{0C9A859B-82C8-6003-1733-018F600051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365760</xdr:colOff>
      <xdr:row>38</xdr:row>
      <xdr:rowOff>7620</xdr:rowOff>
    </xdr:from>
    <xdr:to>
      <xdr:col>9</xdr:col>
      <xdr:colOff>1623060</xdr:colOff>
      <xdr:row>48</xdr:row>
      <xdr:rowOff>87630</xdr:rowOff>
    </xdr:to>
    <xdr:graphicFrame macro="">
      <xdr:nvGraphicFramePr>
        <xdr:cNvPr id="11" name="Chart 10">
          <a:extLst>
            <a:ext uri="{FF2B5EF4-FFF2-40B4-BE49-F238E27FC236}">
              <a16:creationId xmlns:a16="http://schemas.microsoft.com/office/drawing/2014/main" id="{8B978E27-D1F7-89F8-4ABA-D9C7D0F1A2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0</xdr:colOff>
      <xdr:row>28</xdr:row>
      <xdr:rowOff>0</xdr:rowOff>
    </xdr:from>
    <xdr:to>
      <xdr:col>8</xdr:col>
      <xdr:colOff>205740</xdr:colOff>
      <xdr:row>39</xdr:row>
      <xdr:rowOff>0</xdr:rowOff>
    </xdr:to>
    <xdr:graphicFrame macro="">
      <xdr:nvGraphicFramePr>
        <xdr:cNvPr id="13" name="Chart 12">
          <a:extLst>
            <a:ext uri="{FF2B5EF4-FFF2-40B4-BE49-F238E27FC236}">
              <a16:creationId xmlns:a16="http://schemas.microsoft.com/office/drawing/2014/main" id="{12735E99-5275-4222-A512-F492CCB942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68580</xdr:colOff>
      <xdr:row>0</xdr:row>
      <xdr:rowOff>91440</xdr:rowOff>
    </xdr:from>
    <xdr:to>
      <xdr:col>23</xdr:col>
      <xdr:colOff>274320</xdr:colOff>
      <xdr:row>39</xdr:row>
      <xdr:rowOff>83820</xdr:rowOff>
    </xdr:to>
    <xdr:grpSp>
      <xdr:nvGrpSpPr>
        <xdr:cNvPr id="5" name="Group 4">
          <a:extLst>
            <a:ext uri="{FF2B5EF4-FFF2-40B4-BE49-F238E27FC236}">
              <a16:creationId xmlns:a16="http://schemas.microsoft.com/office/drawing/2014/main" id="{C8397C48-A703-15BF-A210-FBA60F4CEC6D}"/>
            </a:ext>
          </a:extLst>
        </xdr:cNvPr>
        <xdr:cNvGrpSpPr/>
      </xdr:nvGrpSpPr>
      <xdr:grpSpPr>
        <a:xfrm>
          <a:off x="68580" y="91440"/>
          <a:ext cx="14226540" cy="7124700"/>
          <a:chOff x="68580" y="91440"/>
          <a:chExt cx="14226540" cy="7124700"/>
        </a:xfrm>
      </xdr:grpSpPr>
      <xdr:grpSp>
        <xdr:nvGrpSpPr>
          <xdr:cNvPr id="3" name="Group 2">
            <a:extLst>
              <a:ext uri="{FF2B5EF4-FFF2-40B4-BE49-F238E27FC236}">
                <a16:creationId xmlns:a16="http://schemas.microsoft.com/office/drawing/2014/main" id="{FCA2C54C-5B94-A47E-59E4-5EC9FB72478C}"/>
              </a:ext>
            </a:extLst>
          </xdr:cNvPr>
          <xdr:cNvGrpSpPr/>
        </xdr:nvGrpSpPr>
        <xdr:grpSpPr>
          <a:xfrm>
            <a:off x="106680" y="91440"/>
            <a:ext cx="14188440" cy="7124700"/>
            <a:chOff x="106680" y="91440"/>
            <a:chExt cx="14188440" cy="7124700"/>
          </a:xfrm>
        </xdr:grpSpPr>
        <xdr:graphicFrame macro="">
          <xdr:nvGraphicFramePr>
            <xdr:cNvPr id="11" name="Chart 10">
              <a:extLst>
                <a:ext uri="{FF2B5EF4-FFF2-40B4-BE49-F238E27FC236}">
                  <a16:creationId xmlns:a16="http://schemas.microsoft.com/office/drawing/2014/main" id="{F397D5EE-9C89-48A7-BB8F-E697D81D8755}"/>
                </a:ext>
              </a:extLst>
            </xdr:cNvPr>
            <xdr:cNvGraphicFramePr>
              <a:graphicFrameLocks/>
            </xdr:cNvGraphicFramePr>
          </xdr:nvGraphicFramePr>
          <xdr:xfrm>
            <a:off x="7239000" y="3200400"/>
            <a:ext cx="7056120" cy="401574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14" name="Chart 13">
              <a:extLst>
                <a:ext uri="{FF2B5EF4-FFF2-40B4-BE49-F238E27FC236}">
                  <a16:creationId xmlns:a16="http://schemas.microsoft.com/office/drawing/2014/main" id="{EFC76517-83B9-42E8-AAEC-BEC0403D50A4}"/>
                </a:ext>
              </a:extLst>
            </xdr:cNvPr>
            <xdr:cNvGraphicFramePr>
              <a:graphicFrameLocks/>
            </xdr:cNvGraphicFramePr>
          </xdr:nvGraphicFramePr>
          <xdr:xfrm>
            <a:off x="1912620" y="1584960"/>
            <a:ext cx="5212080" cy="339090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16" name="Chart 15">
              <a:extLst>
                <a:ext uri="{FF2B5EF4-FFF2-40B4-BE49-F238E27FC236}">
                  <a16:creationId xmlns:a16="http://schemas.microsoft.com/office/drawing/2014/main" id="{D4BA8BBD-7C89-4CF2-9E79-32A07BCC8287}"/>
                </a:ext>
              </a:extLst>
            </xdr:cNvPr>
            <xdr:cNvGraphicFramePr>
              <a:graphicFrameLocks/>
            </xdr:cNvGraphicFramePr>
          </xdr:nvGraphicFramePr>
          <xdr:xfrm>
            <a:off x="7223760" y="845820"/>
            <a:ext cx="2286000" cy="2286000"/>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17" name="Chart 16">
              <a:extLst>
                <a:ext uri="{FF2B5EF4-FFF2-40B4-BE49-F238E27FC236}">
                  <a16:creationId xmlns:a16="http://schemas.microsoft.com/office/drawing/2014/main" id="{E2B6C739-8B1F-4AAD-A640-3240126C9855}"/>
                </a:ext>
              </a:extLst>
            </xdr:cNvPr>
            <xdr:cNvGraphicFramePr>
              <a:graphicFrameLocks/>
            </xdr:cNvGraphicFramePr>
          </xdr:nvGraphicFramePr>
          <xdr:xfrm>
            <a:off x="12009120" y="845820"/>
            <a:ext cx="2286000" cy="2286000"/>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18" name="Chart 17">
              <a:extLst>
                <a:ext uri="{FF2B5EF4-FFF2-40B4-BE49-F238E27FC236}">
                  <a16:creationId xmlns:a16="http://schemas.microsoft.com/office/drawing/2014/main" id="{14E7EF5F-32D5-47EB-915D-D3FFADE4EA2D}"/>
                </a:ext>
              </a:extLst>
            </xdr:cNvPr>
            <xdr:cNvGraphicFramePr>
              <a:graphicFrameLocks/>
            </xdr:cNvGraphicFramePr>
          </xdr:nvGraphicFramePr>
          <xdr:xfrm>
            <a:off x="9616440" y="845820"/>
            <a:ext cx="2286000" cy="2286000"/>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19" name="Chart 18">
              <a:extLst>
                <a:ext uri="{FF2B5EF4-FFF2-40B4-BE49-F238E27FC236}">
                  <a16:creationId xmlns:a16="http://schemas.microsoft.com/office/drawing/2014/main" id="{6236FE0E-13AB-4A97-8525-9E46570D7A3E}"/>
                </a:ext>
              </a:extLst>
            </xdr:cNvPr>
            <xdr:cNvGraphicFramePr>
              <a:graphicFrameLocks/>
            </xdr:cNvGraphicFramePr>
          </xdr:nvGraphicFramePr>
          <xdr:xfrm>
            <a:off x="1912620" y="5029200"/>
            <a:ext cx="5212080" cy="2186940"/>
          </xdr:xfrm>
          <a:graphic>
            <a:graphicData uri="http://schemas.openxmlformats.org/drawingml/2006/chart">
              <c:chart xmlns:c="http://schemas.openxmlformats.org/drawingml/2006/chart" xmlns:r="http://schemas.openxmlformats.org/officeDocument/2006/relationships" r:id="rId6"/>
            </a:graphicData>
          </a:graphic>
        </xdr:graphicFrame>
        <xdr:grpSp>
          <xdr:nvGrpSpPr>
            <xdr:cNvPr id="21" name="Group 20">
              <a:extLst>
                <a:ext uri="{FF2B5EF4-FFF2-40B4-BE49-F238E27FC236}">
                  <a16:creationId xmlns:a16="http://schemas.microsoft.com/office/drawing/2014/main" id="{0BB71173-E1D9-5834-2135-12CD7087F0B5}"/>
                </a:ext>
              </a:extLst>
            </xdr:cNvPr>
            <xdr:cNvGrpSpPr/>
          </xdr:nvGrpSpPr>
          <xdr:grpSpPr>
            <a:xfrm>
              <a:off x="1912620" y="845820"/>
              <a:ext cx="1600200" cy="685800"/>
              <a:chOff x="1912620" y="845820"/>
              <a:chExt cx="1600200" cy="685800"/>
            </a:xfrm>
          </xdr:grpSpPr>
          <xdr:sp macro="" textlink="Calculation!$A$7">
            <xdr:nvSpPr>
              <xdr:cNvPr id="4" name="Rectangle 3">
                <a:extLst>
                  <a:ext uri="{FF2B5EF4-FFF2-40B4-BE49-F238E27FC236}">
                    <a16:creationId xmlns:a16="http://schemas.microsoft.com/office/drawing/2014/main" id="{F7F8A08F-5C4A-12BF-BE13-2BD1AA8D95D8}"/>
                  </a:ext>
                </a:extLst>
              </xdr:cNvPr>
              <xdr:cNvSpPr/>
            </xdr:nvSpPr>
            <xdr:spPr>
              <a:xfrm>
                <a:off x="1912620" y="845820"/>
                <a:ext cx="1600200" cy="6858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E1EE637B-8275-4BE1-A9B9-CAF929E90377}" type="TxLink">
                  <a:rPr lang="en-US" sz="1800" b="1" i="0" u="none" strike="noStrike" kern="1200">
                    <a:solidFill>
                      <a:srgbClr val="000000"/>
                    </a:solidFill>
                    <a:latin typeface="Calibri"/>
                    <a:cs typeface="Calibri"/>
                  </a:rPr>
                  <a:pPr algn="ctr"/>
                  <a:t> $2,935,598 </a:t>
                </a:fld>
                <a:endParaRPr lang="en-US" sz="1800" b="1" kern="1200"/>
              </a:p>
            </xdr:txBody>
          </xdr:sp>
          <xdr:sp macro="" textlink="">
            <xdr:nvSpPr>
              <xdr:cNvPr id="20" name="TextBox 19">
                <a:extLst>
                  <a:ext uri="{FF2B5EF4-FFF2-40B4-BE49-F238E27FC236}">
                    <a16:creationId xmlns:a16="http://schemas.microsoft.com/office/drawing/2014/main" id="{E1B22C96-90C7-C8E1-32CF-9A05E231AC35}"/>
                  </a:ext>
                </a:extLst>
              </xdr:cNvPr>
              <xdr:cNvSpPr txBox="1"/>
            </xdr:nvSpPr>
            <xdr:spPr>
              <a:xfrm>
                <a:off x="1912620" y="845820"/>
                <a:ext cx="160020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kern="1200"/>
                  <a:t>Total Salary</a:t>
                </a:r>
              </a:p>
            </xdr:txBody>
          </xdr:sp>
        </xdr:grpSp>
        <xdr:grpSp>
          <xdr:nvGrpSpPr>
            <xdr:cNvPr id="22" name="Group 21">
              <a:extLst>
                <a:ext uri="{FF2B5EF4-FFF2-40B4-BE49-F238E27FC236}">
                  <a16:creationId xmlns:a16="http://schemas.microsoft.com/office/drawing/2014/main" id="{3A65A7AC-3BDE-C058-1C70-DFB580C81BFC}"/>
                </a:ext>
              </a:extLst>
            </xdr:cNvPr>
            <xdr:cNvGrpSpPr/>
          </xdr:nvGrpSpPr>
          <xdr:grpSpPr>
            <a:xfrm>
              <a:off x="3710940" y="845820"/>
              <a:ext cx="1600200" cy="685800"/>
              <a:chOff x="1912620" y="845820"/>
              <a:chExt cx="1600200" cy="685800"/>
            </a:xfrm>
          </xdr:grpSpPr>
          <xdr:sp macro="" textlink="Calculation!A12">
            <xdr:nvSpPr>
              <xdr:cNvPr id="23" name="Rectangle 22">
                <a:extLst>
                  <a:ext uri="{FF2B5EF4-FFF2-40B4-BE49-F238E27FC236}">
                    <a16:creationId xmlns:a16="http://schemas.microsoft.com/office/drawing/2014/main" id="{FCF3E368-6DD2-FFCA-FBDB-F6302D8484C8}"/>
                  </a:ext>
                </a:extLst>
              </xdr:cNvPr>
              <xdr:cNvSpPr/>
            </xdr:nvSpPr>
            <xdr:spPr>
              <a:xfrm>
                <a:off x="1912620" y="845820"/>
                <a:ext cx="1600200" cy="6858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7EB53FBA-1EF4-44D9-9BB6-91EB1CDA6C0D}" type="TxLink">
                  <a:rPr lang="en-US" sz="1800" b="1" i="0" u="none" strike="noStrike" kern="1200">
                    <a:solidFill>
                      <a:srgbClr val="000000"/>
                    </a:solidFill>
                    <a:latin typeface="Calibri"/>
                    <a:cs typeface="Calibri"/>
                  </a:rPr>
                  <a:pPr algn="ctr"/>
                  <a:t>501</a:t>
                </a:fld>
                <a:endParaRPr lang="en-US" sz="3200" b="1" kern="1200"/>
              </a:p>
            </xdr:txBody>
          </xdr:sp>
          <xdr:sp macro="" textlink="">
            <xdr:nvSpPr>
              <xdr:cNvPr id="24" name="TextBox 23">
                <a:extLst>
                  <a:ext uri="{FF2B5EF4-FFF2-40B4-BE49-F238E27FC236}">
                    <a16:creationId xmlns:a16="http://schemas.microsoft.com/office/drawing/2014/main" id="{96852F89-09A2-3893-6E57-A1EAFB831938}"/>
                  </a:ext>
                </a:extLst>
              </xdr:cNvPr>
              <xdr:cNvSpPr txBox="1"/>
            </xdr:nvSpPr>
            <xdr:spPr>
              <a:xfrm>
                <a:off x="1912620" y="845820"/>
                <a:ext cx="160020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kern="1200"/>
                  <a:t>Total</a:t>
                </a:r>
                <a:r>
                  <a:rPr lang="en-US" sz="1600" b="1" kern="1200" baseline="0"/>
                  <a:t> Employees</a:t>
                </a:r>
                <a:endParaRPr lang="en-US" sz="1600" b="1" kern="1200"/>
              </a:p>
            </xdr:txBody>
          </xdr:sp>
        </xdr:grpSp>
        <xdr:grpSp>
          <xdr:nvGrpSpPr>
            <xdr:cNvPr id="25" name="Group 24">
              <a:extLst>
                <a:ext uri="{FF2B5EF4-FFF2-40B4-BE49-F238E27FC236}">
                  <a16:creationId xmlns:a16="http://schemas.microsoft.com/office/drawing/2014/main" id="{CC7BC518-B99E-6770-C79C-FE851E1F105E}"/>
                </a:ext>
              </a:extLst>
            </xdr:cNvPr>
            <xdr:cNvGrpSpPr/>
          </xdr:nvGrpSpPr>
          <xdr:grpSpPr>
            <a:xfrm>
              <a:off x="5524500" y="845820"/>
              <a:ext cx="1600200" cy="685800"/>
              <a:chOff x="1912620" y="845820"/>
              <a:chExt cx="1600200" cy="685800"/>
            </a:xfrm>
          </xdr:grpSpPr>
          <xdr:sp macro="" textlink="Calculation!A17">
            <xdr:nvSpPr>
              <xdr:cNvPr id="26" name="Rectangle 25">
                <a:extLst>
                  <a:ext uri="{FF2B5EF4-FFF2-40B4-BE49-F238E27FC236}">
                    <a16:creationId xmlns:a16="http://schemas.microsoft.com/office/drawing/2014/main" id="{67D27297-8B52-9BD5-FF51-EFCB68EC6C78}"/>
                  </a:ext>
                </a:extLst>
              </xdr:cNvPr>
              <xdr:cNvSpPr/>
            </xdr:nvSpPr>
            <xdr:spPr>
              <a:xfrm>
                <a:off x="1912620" y="845820"/>
                <a:ext cx="1600200" cy="6858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9A377794-0396-4B56-8141-7BD35862DAC4}" type="TxLink">
                  <a:rPr lang="en-US" sz="1800" b="1" i="0" u="none" strike="noStrike" kern="1200">
                    <a:solidFill>
                      <a:srgbClr val="000000"/>
                    </a:solidFill>
                    <a:latin typeface="Calibri"/>
                    <a:cs typeface="Calibri"/>
                  </a:rPr>
                  <a:pPr algn="ctr"/>
                  <a:t> $5,859 </a:t>
                </a:fld>
                <a:endParaRPr lang="en-US" sz="3200" b="1" kern="1200"/>
              </a:p>
            </xdr:txBody>
          </xdr:sp>
          <xdr:sp macro="" textlink="">
            <xdr:nvSpPr>
              <xdr:cNvPr id="27" name="TextBox 26">
                <a:extLst>
                  <a:ext uri="{FF2B5EF4-FFF2-40B4-BE49-F238E27FC236}">
                    <a16:creationId xmlns:a16="http://schemas.microsoft.com/office/drawing/2014/main" id="{EF52E32D-626A-8CD0-313D-22667D291937}"/>
                  </a:ext>
                </a:extLst>
              </xdr:cNvPr>
              <xdr:cNvSpPr txBox="1"/>
            </xdr:nvSpPr>
            <xdr:spPr>
              <a:xfrm>
                <a:off x="1912620" y="845820"/>
                <a:ext cx="160020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kern="1200"/>
                  <a:t>Avg Salary</a:t>
                </a:r>
              </a:p>
            </xdr:txBody>
          </xdr:sp>
        </xdr:grpSp>
        <xdr:sp macro="" textlink="">
          <xdr:nvSpPr>
            <xdr:cNvPr id="28" name="TextBox 27">
              <a:extLst>
                <a:ext uri="{FF2B5EF4-FFF2-40B4-BE49-F238E27FC236}">
                  <a16:creationId xmlns:a16="http://schemas.microsoft.com/office/drawing/2014/main" id="{4F25AFC7-43E4-5368-D305-00E0F51785AE}"/>
                </a:ext>
              </a:extLst>
            </xdr:cNvPr>
            <xdr:cNvSpPr txBox="1"/>
          </xdr:nvSpPr>
          <xdr:spPr>
            <a:xfrm>
              <a:off x="106680" y="91440"/>
              <a:ext cx="14188440" cy="640080"/>
            </a:xfrm>
            <a:prstGeom prst="rect">
              <a:avLst/>
            </a:prstGeom>
            <a:solidFill>
              <a:schemeClr val="accent1">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a:solidFill>
                    <a:schemeClr val="dk1"/>
                  </a:solidFill>
                  <a:effectLst/>
                  <a:latin typeface="Bookman Old Style" panose="02050604050505020204" pitchFamily="18" charset="0"/>
                  <a:ea typeface="+mn-ea"/>
                  <a:cs typeface="+mn-cs"/>
                </a:rPr>
                <a:t>Employee Performance </a:t>
              </a:r>
              <a:endParaRPr lang="en-US" sz="2800" kern="1200">
                <a:latin typeface="Bookman Old Style" panose="02050604050505020204" pitchFamily="18" charset="0"/>
              </a:endParaRPr>
            </a:p>
          </xdr:txBody>
        </xdr:sp>
      </xdr:grpSp>
      <mc:AlternateContent xmlns:mc="http://schemas.openxmlformats.org/markup-compatibility/2006" xmlns:a14="http://schemas.microsoft.com/office/drawing/2010/main">
        <mc:Choice Requires="a14">
          <xdr:graphicFrame macro="">
            <xdr:nvGraphicFramePr>
              <xdr:cNvPr id="29" name="Performance Score">
                <a:extLst>
                  <a:ext uri="{FF2B5EF4-FFF2-40B4-BE49-F238E27FC236}">
                    <a16:creationId xmlns:a16="http://schemas.microsoft.com/office/drawing/2014/main" id="{CEB131E7-7DE0-8848-6D56-B2213F26DFB3}"/>
                  </a:ext>
                </a:extLst>
              </xdr:cNvPr>
              <xdr:cNvGraphicFramePr/>
            </xdr:nvGraphicFramePr>
            <xdr:xfrm>
              <a:off x="68580" y="3487420"/>
              <a:ext cx="1783080" cy="1958340"/>
            </xdr:xfrm>
            <a:graphic>
              <a:graphicData uri="http://schemas.microsoft.com/office/drawing/2010/slicer">
                <sle:slicer xmlns:sle="http://schemas.microsoft.com/office/drawing/2010/slicer" name="Performance Score"/>
              </a:graphicData>
            </a:graphic>
          </xdr:graphicFrame>
        </mc:Choice>
        <mc:Fallback xmlns="">
          <xdr:sp macro="" textlink="">
            <xdr:nvSpPr>
              <xdr:cNvPr id="0" name=""/>
              <xdr:cNvSpPr>
                <a:spLocks noTextEdit="1"/>
              </xdr:cNvSpPr>
            </xdr:nvSpPr>
            <xdr:spPr>
              <a:xfrm>
                <a:off x="68580" y="3487420"/>
                <a:ext cx="1783080" cy="19583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30" name="Experience">
                <a:extLst>
                  <a:ext uri="{FF2B5EF4-FFF2-40B4-BE49-F238E27FC236}">
                    <a16:creationId xmlns:a16="http://schemas.microsoft.com/office/drawing/2014/main" id="{A664C8C2-D3CF-8FA4-E4D8-78B28AD7699F}"/>
                  </a:ext>
                </a:extLst>
              </xdr:cNvPr>
              <xdr:cNvGraphicFramePr/>
            </xdr:nvGraphicFramePr>
            <xdr:xfrm>
              <a:off x="68580" y="5486400"/>
              <a:ext cx="1783080" cy="1729740"/>
            </xdr:xfrm>
            <a:graphic>
              <a:graphicData uri="http://schemas.microsoft.com/office/drawing/2010/slicer">
                <sle:slicer xmlns:sle="http://schemas.microsoft.com/office/drawing/2010/slicer" name="Experience"/>
              </a:graphicData>
            </a:graphic>
          </xdr:graphicFrame>
        </mc:Choice>
        <mc:Fallback xmlns="">
          <xdr:sp macro="" textlink="">
            <xdr:nvSpPr>
              <xdr:cNvPr id="0" name=""/>
              <xdr:cNvSpPr>
                <a:spLocks noTextEdit="1"/>
              </xdr:cNvSpPr>
            </xdr:nvSpPr>
            <xdr:spPr>
              <a:xfrm>
                <a:off x="68580" y="5486400"/>
                <a:ext cx="1783080" cy="17297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31" name="Department">
                <a:extLst>
                  <a:ext uri="{FF2B5EF4-FFF2-40B4-BE49-F238E27FC236}">
                    <a16:creationId xmlns:a16="http://schemas.microsoft.com/office/drawing/2014/main" id="{6E8D0082-9695-3E7B-B187-EFA4F6F006DF}"/>
                  </a:ext>
                </a:extLst>
              </xdr:cNvPr>
              <xdr:cNvGraphicFramePr/>
            </xdr:nvGraphicFramePr>
            <xdr:xfrm>
              <a:off x="68580" y="845820"/>
              <a:ext cx="1783080" cy="128016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68580" y="845820"/>
                <a:ext cx="1783080" cy="12801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2" name="Location">
                <a:extLst>
                  <a:ext uri="{FF2B5EF4-FFF2-40B4-BE49-F238E27FC236}">
                    <a16:creationId xmlns:a16="http://schemas.microsoft.com/office/drawing/2014/main" id="{72CC01B3-38C1-B633-B57D-F2C24AE3B464}"/>
                  </a:ext>
                </a:extLst>
              </xdr:cNvPr>
              <xdr:cNvGraphicFramePr/>
            </xdr:nvGraphicFramePr>
            <xdr:xfrm>
              <a:off x="68580" y="2166620"/>
              <a:ext cx="1783080" cy="128016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68580" y="2166620"/>
                <a:ext cx="1783080" cy="12801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sama Muharram" refreshedDate="45658.969904745369" backgroundQuery="1" createdVersion="8" refreshedVersion="8" minRefreshableVersion="3" recordCount="0" supportSubquery="1" supportAdvancedDrill="1" xr:uid="{B8B2A141-84EF-4050-B76A-69D69E8B8274}">
  <cacheSource type="external" connectionId="2"/>
  <cacheFields count="5">
    <cacheField name="[Measures].[AvgSalary]" caption="AvgSalary" numFmtId="0" hierarchy="22" level="32767"/>
    <cacheField name="[Employe_Performance_dataset].[Location].[Location]" caption="Location" numFmtId="0" hierarchy="9" level="1">
      <sharedItems containsSemiMixedTypes="0" containsNonDate="0" containsString="0"/>
    </cacheField>
    <cacheField name="[Employe_Performance_dataset].[Performance Score].[Performance Score]" caption="Performance Score" numFmtId="0" hierarchy="7" level="1">
      <sharedItems containsSemiMixedTypes="0" containsNonDate="0" containsString="0"/>
    </cacheField>
    <cacheField name="[Employe_Performance_dataset].[Experience].[Experience]" caption="Experience" numFmtId="0" hierarchy="8" level="1">
      <sharedItems containsSemiMixedTypes="0" containsNonDate="0" containsString="0"/>
    </cacheField>
    <cacheField name="[Employe_Performance_dataset].[Department].[Department]" caption="Department" numFmtId="0" hierarchy="4" level="1">
      <sharedItems containsSemiMixedTypes="0" containsNonDate="0" containsString="0"/>
    </cacheField>
  </cacheFields>
  <cacheHierarchies count="27">
    <cacheHierarchy uniqueName="[Employe_Performance_dataset].[ID]" caption="ID" attribute="1" defaultMemberUniqueName="[Employe_Performance_dataset].[ID].[All]" allUniqueName="[Employe_Performance_dataset].[ID].[All]" dimensionUniqueName="[Employe_Performance_dataset]" displayFolder="" count="0" memberValueDatatype="20" unbalanced="0"/>
    <cacheHierarchy uniqueName="[Employe_Performance_dataset].[Name]" caption="Name" attribute="1" defaultMemberUniqueName="[Employe_Performance_dataset].[Name].[All]" allUniqueName="[Employe_Performance_dataset].[Name].[All]" dimensionUniqueName="[Employe_Performance_dataset]" displayFolder="" count="0" memberValueDatatype="130" unbalanced="0"/>
    <cacheHierarchy uniqueName="[Employe_Performance_dataset].[Age]" caption="Age" attribute="1" defaultMemberUniqueName="[Employe_Performance_dataset].[Age].[All]" allUniqueName="[Employe_Performance_dataset].[Age].[All]" dimensionUniqueName="[Employe_Performance_dataset]" displayFolder="" count="0" memberValueDatatype="20" unbalanced="0"/>
    <cacheHierarchy uniqueName="[Employe_Performance_dataset].[Gender]" caption="Gender" attribute="1" defaultMemberUniqueName="[Employe_Performance_dataset].[Gender].[All]" allUniqueName="[Employe_Performance_dataset].[Gender].[All]" dimensionUniqueName="[Employe_Performance_dataset]" displayFolder="" count="0" memberValueDatatype="130" unbalanced="0"/>
    <cacheHierarchy uniqueName="[Employe_Performance_dataset].[Department]" caption="Department" attribute="1" defaultMemberUniqueName="[Employe_Performance_dataset].[Department].[All]" allUniqueName="[Employe_Performance_dataset].[Department].[All]" dimensionUniqueName="[Employe_Performance_dataset]" displayFolder="" count="2" memberValueDatatype="130" unbalanced="0">
      <fieldsUsage count="2">
        <fieldUsage x="-1"/>
        <fieldUsage x="4"/>
      </fieldsUsage>
    </cacheHierarchy>
    <cacheHierarchy uniqueName="[Employe_Performance_dataset].[Salary]" caption="Salary" attribute="1" defaultMemberUniqueName="[Employe_Performance_dataset].[Salary].[All]" allUniqueName="[Employe_Performance_dataset].[Salary].[All]" dimensionUniqueName="[Employe_Performance_dataset]" displayFolder="" count="0" memberValueDatatype="20" unbalanced="0"/>
    <cacheHierarchy uniqueName="[Employe_Performance_dataset].[Joining Date]" caption="Joining Date" attribute="1" time="1" defaultMemberUniqueName="[Employe_Performance_dataset].[Joining Date].[All]" allUniqueName="[Employe_Performance_dataset].[Joining Date].[All]" dimensionUniqueName="[Employe_Performance_dataset]" displayFolder="" count="0" memberValueDatatype="7" unbalanced="0"/>
    <cacheHierarchy uniqueName="[Employe_Performance_dataset].[Performance Score]" caption="Performance Score" attribute="1" defaultMemberUniqueName="[Employe_Performance_dataset].[Performance Score].[All]" allUniqueName="[Employe_Performance_dataset].[Performance Score].[All]" dimensionUniqueName="[Employe_Performance_dataset]" displayFolder="" count="2" memberValueDatatype="20" unbalanced="0">
      <fieldsUsage count="2">
        <fieldUsage x="-1"/>
        <fieldUsage x="2"/>
      </fieldsUsage>
    </cacheHierarchy>
    <cacheHierarchy uniqueName="[Employe_Performance_dataset].[Experience]" caption="Experience" attribute="1" defaultMemberUniqueName="[Employe_Performance_dataset].[Experience].[All]" allUniqueName="[Employe_Performance_dataset].[Experience].[All]" dimensionUniqueName="[Employe_Performance_dataset]" displayFolder="" count="2" memberValueDatatype="20" unbalanced="0">
      <fieldsUsage count="2">
        <fieldUsage x="-1"/>
        <fieldUsage x="3"/>
      </fieldsUsage>
    </cacheHierarchy>
    <cacheHierarchy uniqueName="[Employe_Performance_dataset].[Location]" caption="Location" attribute="1" defaultMemberUniqueName="[Employe_Performance_dataset].[Location].[All]" allUniqueName="[Employe_Performance_dataset].[Location].[All]" dimensionUniqueName="[Employe_Performance_dataset]" displayFolder="" count="2" memberValueDatatype="130" unbalanced="0">
      <fieldsUsage count="2">
        <fieldUsage x="-1"/>
        <fieldUsage x="1"/>
      </fieldsUsage>
    </cacheHierarchy>
    <cacheHierarchy uniqueName="[Employe_Performance_dataset].[Session]" caption="Session" attribute="1" defaultMemberUniqueName="[Employe_Performance_dataset].[Session].[All]" allUniqueName="[Employe_Performance_dataset].[Session].[All]" dimensionUniqueName="[Employe_Performance_dataset]" displayFolder="" count="0" memberValueDatatype="130" unbalanced="0"/>
    <cacheHierarchy uniqueName="[Employe_Performance_dataset].[WorkDuration]" caption="WorkDuration" attribute="1" defaultMemberUniqueName="[Employe_Performance_dataset].[WorkDuration].[All]" allUniqueName="[Employe_Performance_dataset].[WorkDuration].[All]" dimensionUniqueName="[Employe_Performance_dataset]" displayFolder="" count="0" memberValueDatatype="20" unbalanced="0"/>
    <cacheHierarchy uniqueName="[Measures].[Sum of Age]" caption="Sum of Age" measure="1" displayFolder="" measureGroup="Employe_Performance_dataset" count="0">
      <extLst>
        <ext xmlns:x15="http://schemas.microsoft.com/office/spreadsheetml/2010/11/main" uri="{B97F6D7D-B522-45F9-BDA1-12C45D357490}">
          <x15:cacheHierarchy aggregatedColumn="2"/>
        </ext>
      </extLst>
    </cacheHierarchy>
    <cacheHierarchy uniqueName="[Measures].[Max of Age]" caption="Max of Age" measure="1" displayFolder="" measureGroup="Employe_Performance_dataset" count="0">
      <extLst>
        <ext xmlns:x15="http://schemas.microsoft.com/office/spreadsheetml/2010/11/main" uri="{B97F6D7D-B522-45F9-BDA1-12C45D357490}">
          <x15:cacheHierarchy aggregatedColumn="2"/>
        </ext>
      </extLst>
    </cacheHierarchy>
    <cacheHierarchy uniqueName="[Measures].[Count of Joining Date]" caption="Count of Joining Date" measure="1" displayFolder="" measureGroup="Employe_Performance_dataset" count="0">
      <extLst>
        <ext xmlns:x15="http://schemas.microsoft.com/office/spreadsheetml/2010/11/main" uri="{B97F6D7D-B522-45F9-BDA1-12C45D357490}">
          <x15:cacheHierarchy aggregatedColumn="6"/>
        </ext>
      </extLst>
    </cacheHierarchy>
    <cacheHierarchy uniqueName="[Measures].[Sum of WorkDuration]" caption="Sum of WorkDuration" measure="1" displayFolder="" measureGroup="Employe_Performance_dataset" count="0">
      <extLst>
        <ext xmlns:x15="http://schemas.microsoft.com/office/spreadsheetml/2010/11/main" uri="{B97F6D7D-B522-45F9-BDA1-12C45D357490}">
          <x15:cacheHierarchy aggregatedColumn="11"/>
        </ext>
      </extLst>
    </cacheHierarchy>
    <cacheHierarchy uniqueName="[Measures].[Max of WorkDuration]" caption="Max of WorkDuration" measure="1" displayFolder="" measureGroup="Employe_Performance_dataset" count="0">
      <extLst>
        <ext xmlns:x15="http://schemas.microsoft.com/office/spreadsheetml/2010/11/main" uri="{B97F6D7D-B522-45F9-BDA1-12C45D357490}">
          <x15:cacheHierarchy aggregatedColumn="11"/>
        </ext>
      </extLst>
    </cacheHierarchy>
    <cacheHierarchy uniqueName="[Measures].[Count of Name]" caption="Count of Name" measure="1" displayFolder="" measureGroup="Employe_Performance_dataset" count="0">
      <extLst>
        <ext xmlns:x15="http://schemas.microsoft.com/office/spreadsheetml/2010/11/main" uri="{B97F6D7D-B522-45F9-BDA1-12C45D357490}">
          <x15:cacheHierarchy aggregatedColumn="1"/>
        </ext>
      </extLst>
    </cacheHierarchy>
    <cacheHierarchy uniqueName="[Measures].[Sum of Salary]" caption="Sum of Salary" measure="1" displayFolder="" measureGroup="Employe_Performance_dataset" count="0">
      <extLst>
        <ext xmlns:x15="http://schemas.microsoft.com/office/spreadsheetml/2010/11/main" uri="{B97F6D7D-B522-45F9-BDA1-12C45D357490}">
          <x15:cacheHierarchy aggregatedColumn="5"/>
        </ext>
      </extLst>
    </cacheHierarchy>
    <cacheHierarchy uniqueName="[Measures].[Sum of Experience]" caption="Sum of Experience" measure="1" displayFolder="" measureGroup="Employe_Performance_dataset" count="0">
      <extLst>
        <ext xmlns:x15="http://schemas.microsoft.com/office/spreadsheetml/2010/11/main" uri="{B97F6D7D-B522-45F9-BDA1-12C45D357490}">
          <x15:cacheHierarchy aggregatedColumn="8"/>
        </ext>
      </extLst>
    </cacheHierarchy>
    <cacheHierarchy uniqueName="[Measures].[TotalSalary]" caption="TotalSalary" measure="1" displayFolder="" measureGroup="Employe_Performance_dataset" count="0"/>
    <cacheHierarchy uniqueName="[Measures].[# TotalEmployees]" caption="# TotalEmployees" measure="1" displayFolder="" measureGroup="Employe_Performance_dataset" count="0"/>
    <cacheHierarchy uniqueName="[Measures].[AvgSalary]" caption="AvgSalary" measure="1" displayFolder="" measureGroup="Employe_Performance_dataset" count="0" oneField="1">
      <fieldsUsage count="1">
        <fieldUsage x="0"/>
      </fieldsUsage>
    </cacheHierarchy>
    <cacheHierarchy uniqueName="[Measures].[Employee&gt;50]" caption="Employee&gt;50" measure="1" displayFolder="" measureGroup="Employe_Performance_dataset" count="0"/>
    <cacheHierarchy uniqueName="[Measures].[FeEmployee]" caption="FeEmployee" measure="1" displayFolder="" measureGroup="Employe_Performance_dataset" count="0"/>
    <cacheHierarchy uniqueName="[Measures].[__XL_Count Employe_Performance_dataset]" caption="__XL_Count Employe_Performance_dataset" measure="1" displayFolder="" measureGroup="Employe_Performance_dataset" count="0" hidden="1"/>
    <cacheHierarchy uniqueName="[Measures].[__No measures defined]" caption="__No measures defined" measure="1" displayFolder="" count="0" hidden="1"/>
  </cacheHierarchies>
  <kpis count="0"/>
  <dimensions count="2">
    <dimension name="Employe_Performance_dataset" uniqueName="[Employe_Performance_dataset]" caption="Employe_Performance_dataset"/>
    <dimension measure="1" name="Measures" uniqueName="[Measures]" caption="Measures"/>
  </dimensions>
  <measureGroups count="1">
    <measureGroup name="Employe_Performance_dataset" caption="Employe_Performance_dataset"/>
  </measureGroups>
  <maps count="1">
    <map measureGroup="0" dimension="0"/>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sama Muharram" refreshedDate="45658.96990960648" backgroundQuery="1" createdVersion="8" refreshedVersion="8" minRefreshableVersion="3" recordCount="0" supportSubquery="1" supportAdvancedDrill="1" xr:uid="{87ACDE6F-F0B1-4717-992E-6CFB206336AC}">
  <cacheSource type="external" connectionId="2"/>
  <cacheFields count="5">
    <cacheField name="[Measures].[# TotalEmployees]" caption="# TotalEmployees" numFmtId="0" hierarchy="21" level="32767"/>
    <cacheField name="[Employe_Performance_dataset].[Location].[Location]" caption="Location" numFmtId="0" hierarchy="9" level="1">
      <sharedItems containsSemiMixedTypes="0" containsNonDate="0" containsString="0"/>
    </cacheField>
    <cacheField name="[Employe_Performance_dataset].[Performance Score].[Performance Score]" caption="Performance Score" numFmtId="0" hierarchy="7" level="1">
      <sharedItems containsSemiMixedTypes="0" containsNonDate="0" containsString="0"/>
    </cacheField>
    <cacheField name="[Employe_Performance_dataset].[Experience].[Experience]" caption="Experience" numFmtId="0" hierarchy="8" level="1">
      <sharedItems containsSemiMixedTypes="0" containsNonDate="0" containsString="0"/>
    </cacheField>
    <cacheField name="[Employe_Performance_dataset].[Department].[Department]" caption="Department" numFmtId="0" hierarchy="4" level="1">
      <sharedItems containsSemiMixedTypes="0" containsNonDate="0" containsString="0"/>
    </cacheField>
  </cacheFields>
  <cacheHierarchies count="27">
    <cacheHierarchy uniqueName="[Employe_Performance_dataset].[ID]" caption="ID" attribute="1" defaultMemberUniqueName="[Employe_Performance_dataset].[ID].[All]" allUniqueName="[Employe_Performance_dataset].[ID].[All]" dimensionUniqueName="[Employe_Performance_dataset]" displayFolder="" count="0" memberValueDatatype="20" unbalanced="0"/>
    <cacheHierarchy uniqueName="[Employe_Performance_dataset].[Name]" caption="Name" attribute="1" defaultMemberUniqueName="[Employe_Performance_dataset].[Name].[All]" allUniqueName="[Employe_Performance_dataset].[Name].[All]" dimensionUniqueName="[Employe_Performance_dataset]" displayFolder="" count="0" memberValueDatatype="130" unbalanced="0"/>
    <cacheHierarchy uniqueName="[Employe_Performance_dataset].[Age]" caption="Age" attribute="1" defaultMemberUniqueName="[Employe_Performance_dataset].[Age].[All]" allUniqueName="[Employe_Performance_dataset].[Age].[All]" dimensionUniqueName="[Employe_Performance_dataset]" displayFolder="" count="0" memberValueDatatype="20" unbalanced="0"/>
    <cacheHierarchy uniqueName="[Employe_Performance_dataset].[Gender]" caption="Gender" attribute="1" defaultMemberUniqueName="[Employe_Performance_dataset].[Gender].[All]" allUniqueName="[Employe_Performance_dataset].[Gender].[All]" dimensionUniqueName="[Employe_Performance_dataset]" displayFolder="" count="0" memberValueDatatype="130" unbalanced="0"/>
    <cacheHierarchy uniqueName="[Employe_Performance_dataset].[Department]" caption="Department" attribute="1" defaultMemberUniqueName="[Employe_Performance_dataset].[Department].[All]" allUniqueName="[Employe_Performance_dataset].[Department].[All]" dimensionUniqueName="[Employe_Performance_dataset]" displayFolder="" count="2" memberValueDatatype="130" unbalanced="0">
      <fieldsUsage count="2">
        <fieldUsage x="-1"/>
        <fieldUsage x="4"/>
      </fieldsUsage>
    </cacheHierarchy>
    <cacheHierarchy uniqueName="[Employe_Performance_dataset].[Salary]" caption="Salary" attribute="1" defaultMemberUniqueName="[Employe_Performance_dataset].[Salary].[All]" allUniqueName="[Employe_Performance_dataset].[Salary].[All]" dimensionUniqueName="[Employe_Performance_dataset]" displayFolder="" count="0" memberValueDatatype="20" unbalanced="0"/>
    <cacheHierarchy uniqueName="[Employe_Performance_dataset].[Joining Date]" caption="Joining Date" attribute="1" time="1" defaultMemberUniqueName="[Employe_Performance_dataset].[Joining Date].[All]" allUniqueName="[Employe_Performance_dataset].[Joining Date].[All]" dimensionUniqueName="[Employe_Performance_dataset]" displayFolder="" count="0" memberValueDatatype="7" unbalanced="0"/>
    <cacheHierarchy uniqueName="[Employe_Performance_dataset].[Performance Score]" caption="Performance Score" attribute="1" defaultMemberUniqueName="[Employe_Performance_dataset].[Performance Score].[All]" allUniqueName="[Employe_Performance_dataset].[Performance Score].[All]" dimensionUniqueName="[Employe_Performance_dataset]" displayFolder="" count="2" memberValueDatatype="20" unbalanced="0">
      <fieldsUsage count="2">
        <fieldUsage x="-1"/>
        <fieldUsage x="2"/>
      </fieldsUsage>
    </cacheHierarchy>
    <cacheHierarchy uniqueName="[Employe_Performance_dataset].[Experience]" caption="Experience" attribute="1" defaultMemberUniqueName="[Employe_Performance_dataset].[Experience].[All]" allUniqueName="[Employe_Performance_dataset].[Experience].[All]" dimensionUniqueName="[Employe_Performance_dataset]" displayFolder="" count="2" memberValueDatatype="20" unbalanced="0">
      <fieldsUsage count="2">
        <fieldUsage x="-1"/>
        <fieldUsage x="3"/>
      </fieldsUsage>
    </cacheHierarchy>
    <cacheHierarchy uniqueName="[Employe_Performance_dataset].[Location]" caption="Location" attribute="1" defaultMemberUniqueName="[Employe_Performance_dataset].[Location].[All]" allUniqueName="[Employe_Performance_dataset].[Location].[All]" dimensionUniqueName="[Employe_Performance_dataset]" displayFolder="" count="2" memberValueDatatype="130" unbalanced="0">
      <fieldsUsage count="2">
        <fieldUsage x="-1"/>
        <fieldUsage x="1"/>
      </fieldsUsage>
    </cacheHierarchy>
    <cacheHierarchy uniqueName="[Employe_Performance_dataset].[Session]" caption="Session" attribute="1" defaultMemberUniqueName="[Employe_Performance_dataset].[Session].[All]" allUniqueName="[Employe_Performance_dataset].[Session].[All]" dimensionUniqueName="[Employe_Performance_dataset]" displayFolder="" count="0" memberValueDatatype="130" unbalanced="0"/>
    <cacheHierarchy uniqueName="[Employe_Performance_dataset].[WorkDuration]" caption="WorkDuration" attribute="1" defaultMemberUniqueName="[Employe_Performance_dataset].[WorkDuration].[All]" allUniqueName="[Employe_Performance_dataset].[WorkDuration].[All]" dimensionUniqueName="[Employe_Performance_dataset]" displayFolder="" count="0" memberValueDatatype="20" unbalanced="0"/>
    <cacheHierarchy uniqueName="[Measures].[Sum of Age]" caption="Sum of Age" measure="1" displayFolder="" measureGroup="Employe_Performance_dataset" count="0">
      <extLst>
        <ext xmlns:x15="http://schemas.microsoft.com/office/spreadsheetml/2010/11/main" uri="{B97F6D7D-B522-45F9-BDA1-12C45D357490}">
          <x15:cacheHierarchy aggregatedColumn="2"/>
        </ext>
      </extLst>
    </cacheHierarchy>
    <cacheHierarchy uniqueName="[Measures].[Max of Age]" caption="Max of Age" measure="1" displayFolder="" measureGroup="Employe_Performance_dataset" count="0">
      <extLst>
        <ext xmlns:x15="http://schemas.microsoft.com/office/spreadsheetml/2010/11/main" uri="{B97F6D7D-B522-45F9-BDA1-12C45D357490}">
          <x15:cacheHierarchy aggregatedColumn="2"/>
        </ext>
      </extLst>
    </cacheHierarchy>
    <cacheHierarchy uniqueName="[Measures].[Count of Joining Date]" caption="Count of Joining Date" measure="1" displayFolder="" measureGroup="Employe_Performance_dataset" count="0">
      <extLst>
        <ext xmlns:x15="http://schemas.microsoft.com/office/spreadsheetml/2010/11/main" uri="{B97F6D7D-B522-45F9-BDA1-12C45D357490}">
          <x15:cacheHierarchy aggregatedColumn="6"/>
        </ext>
      </extLst>
    </cacheHierarchy>
    <cacheHierarchy uniqueName="[Measures].[Sum of WorkDuration]" caption="Sum of WorkDuration" measure="1" displayFolder="" measureGroup="Employe_Performance_dataset" count="0">
      <extLst>
        <ext xmlns:x15="http://schemas.microsoft.com/office/spreadsheetml/2010/11/main" uri="{B97F6D7D-B522-45F9-BDA1-12C45D357490}">
          <x15:cacheHierarchy aggregatedColumn="11"/>
        </ext>
      </extLst>
    </cacheHierarchy>
    <cacheHierarchy uniqueName="[Measures].[Max of WorkDuration]" caption="Max of WorkDuration" measure="1" displayFolder="" measureGroup="Employe_Performance_dataset" count="0">
      <extLst>
        <ext xmlns:x15="http://schemas.microsoft.com/office/spreadsheetml/2010/11/main" uri="{B97F6D7D-B522-45F9-BDA1-12C45D357490}">
          <x15:cacheHierarchy aggregatedColumn="11"/>
        </ext>
      </extLst>
    </cacheHierarchy>
    <cacheHierarchy uniqueName="[Measures].[Count of Name]" caption="Count of Name" measure="1" displayFolder="" measureGroup="Employe_Performance_dataset" count="0">
      <extLst>
        <ext xmlns:x15="http://schemas.microsoft.com/office/spreadsheetml/2010/11/main" uri="{B97F6D7D-B522-45F9-BDA1-12C45D357490}">
          <x15:cacheHierarchy aggregatedColumn="1"/>
        </ext>
      </extLst>
    </cacheHierarchy>
    <cacheHierarchy uniqueName="[Measures].[Sum of Salary]" caption="Sum of Salary" measure="1" displayFolder="" measureGroup="Employe_Performance_dataset" count="0">
      <extLst>
        <ext xmlns:x15="http://schemas.microsoft.com/office/spreadsheetml/2010/11/main" uri="{B97F6D7D-B522-45F9-BDA1-12C45D357490}">
          <x15:cacheHierarchy aggregatedColumn="5"/>
        </ext>
      </extLst>
    </cacheHierarchy>
    <cacheHierarchy uniqueName="[Measures].[Sum of Experience]" caption="Sum of Experience" measure="1" displayFolder="" measureGroup="Employe_Performance_dataset" count="0">
      <extLst>
        <ext xmlns:x15="http://schemas.microsoft.com/office/spreadsheetml/2010/11/main" uri="{B97F6D7D-B522-45F9-BDA1-12C45D357490}">
          <x15:cacheHierarchy aggregatedColumn="8"/>
        </ext>
      </extLst>
    </cacheHierarchy>
    <cacheHierarchy uniqueName="[Measures].[TotalSalary]" caption="TotalSalary" measure="1" displayFolder="" measureGroup="Employe_Performance_dataset" count="0"/>
    <cacheHierarchy uniqueName="[Measures].[# TotalEmployees]" caption="# TotalEmployees" measure="1" displayFolder="" measureGroup="Employe_Performance_dataset" count="0" oneField="1">
      <fieldsUsage count="1">
        <fieldUsage x="0"/>
      </fieldsUsage>
    </cacheHierarchy>
    <cacheHierarchy uniqueName="[Measures].[AvgSalary]" caption="AvgSalary" measure="1" displayFolder="" measureGroup="Employe_Performance_dataset" count="0"/>
    <cacheHierarchy uniqueName="[Measures].[Employee&gt;50]" caption="Employee&gt;50" measure="1" displayFolder="" measureGroup="Employe_Performance_dataset" count="0"/>
    <cacheHierarchy uniqueName="[Measures].[FeEmployee]" caption="FeEmployee" measure="1" displayFolder="" measureGroup="Employe_Performance_dataset" count="0"/>
    <cacheHierarchy uniqueName="[Measures].[__XL_Count Employe_Performance_dataset]" caption="__XL_Count Employe_Performance_dataset" measure="1" displayFolder="" measureGroup="Employe_Performance_dataset" count="0" hidden="1"/>
    <cacheHierarchy uniqueName="[Measures].[__No measures defined]" caption="__No measures defined" measure="1" displayFolder="" count="0" hidden="1"/>
  </cacheHierarchies>
  <kpis count="0"/>
  <dimensions count="2">
    <dimension name="Employe_Performance_dataset" uniqueName="[Employe_Performance_dataset]" caption="Employe_Performance_dataset"/>
    <dimension measure="1" name="Measures" uniqueName="[Measures]" caption="Measures"/>
  </dimensions>
  <measureGroups count="1">
    <measureGroup name="Employe_Performance_dataset" caption="Employe_Performance_dataset"/>
  </measureGroups>
  <maps count="1">
    <map measureGroup="0" dimension="0"/>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sama Muharram" refreshedDate="45658.969914004629" backgroundQuery="1" createdVersion="8" refreshedVersion="8" minRefreshableVersion="3" recordCount="0" supportSubquery="1" supportAdvancedDrill="1" xr:uid="{FD95F975-ACD5-487E-A8C1-5EF1F6F329A1}">
  <cacheSource type="external" connectionId="2"/>
  <cacheFields count="5">
    <cacheField name="[Measures].[TotalSalary]" caption="TotalSalary" numFmtId="0" hierarchy="20" level="32767"/>
    <cacheField name="[Employe_Performance_dataset].[Location].[Location]" caption="Location" numFmtId="0" hierarchy="9" level="1">
      <sharedItems containsSemiMixedTypes="0" containsNonDate="0" containsString="0"/>
    </cacheField>
    <cacheField name="[Employe_Performance_dataset].[Performance Score].[Performance Score]" caption="Performance Score" numFmtId="0" hierarchy="7" level="1">
      <sharedItems containsSemiMixedTypes="0" containsNonDate="0" containsString="0"/>
    </cacheField>
    <cacheField name="[Employe_Performance_dataset].[Experience].[Experience]" caption="Experience" numFmtId="0" hierarchy="8" level="1">
      <sharedItems containsSemiMixedTypes="0" containsNonDate="0" containsString="0"/>
    </cacheField>
    <cacheField name="[Employe_Performance_dataset].[Department].[Department]" caption="Department" numFmtId="0" hierarchy="4" level="1">
      <sharedItems containsSemiMixedTypes="0" containsNonDate="0" containsString="0"/>
    </cacheField>
  </cacheFields>
  <cacheHierarchies count="27">
    <cacheHierarchy uniqueName="[Employe_Performance_dataset].[ID]" caption="ID" attribute="1" defaultMemberUniqueName="[Employe_Performance_dataset].[ID].[All]" allUniqueName="[Employe_Performance_dataset].[ID].[All]" dimensionUniqueName="[Employe_Performance_dataset]" displayFolder="" count="0" memberValueDatatype="20" unbalanced="0"/>
    <cacheHierarchy uniqueName="[Employe_Performance_dataset].[Name]" caption="Name" attribute="1" defaultMemberUniqueName="[Employe_Performance_dataset].[Name].[All]" allUniqueName="[Employe_Performance_dataset].[Name].[All]" dimensionUniqueName="[Employe_Performance_dataset]" displayFolder="" count="0" memberValueDatatype="130" unbalanced="0"/>
    <cacheHierarchy uniqueName="[Employe_Performance_dataset].[Age]" caption="Age" attribute="1" defaultMemberUniqueName="[Employe_Performance_dataset].[Age].[All]" allUniqueName="[Employe_Performance_dataset].[Age].[All]" dimensionUniqueName="[Employe_Performance_dataset]" displayFolder="" count="0" memberValueDatatype="20" unbalanced="0"/>
    <cacheHierarchy uniqueName="[Employe_Performance_dataset].[Gender]" caption="Gender" attribute="1" defaultMemberUniqueName="[Employe_Performance_dataset].[Gender].[All]" allUniqueName="[Employe_Performance_dataset].[Gender].[All]" dimensionUniqueName="[Employe_Performance_dataset]" displayFolder="" count="0" memberValueDatatype="130" unbalanced="0"/>
    <cacheHierarchy uniqueName="[Employe_Performance_dataset].[Department]" caption="Department" attribute="1" defaultMemberUniqueName="[Employe_Performance_dataset].[Department].[All]" allUniqueName="[Employe_Performance_dataset].[Department].[All]" dimensionUniqueName="[Employe_Performance_dataset]" displayFolder="" count="2" memberValueDatatype="130" unbalanced="0">
      <fieldsUsage count="2">
        <fieldUsage x="-1"/>
        <fieldUsage x="4"/>
      </fieldsUsage>
    </cacheHierarchy>
    <cacheHierarchy uniqueName="[Employe_Performance_dataset].[Salary]" caption="Salary" attribute="1" defaultMemberUniqueName="[Employe_Performance_dataset].[Salary].[All]" allUniqueName="[Employe_Performance_dataset].[Salary].[All]" dimensionUniqueName="[Employe_Performance_dataset]" displayFolder="" count="0" memberValueDatatype="20" unbalanced="0"/>
    <cacheHierarchy uniqueName="[Employe_Performance_dataset].[Joining Date]" caption="Joining Date" attribute="1" time="1" defaultMemberUniqueName="[Employe_Performance_dataset].[Joining Date].[All]" allUniqueName="[Employe_Performance_dataset].[Joining Date].[All]" dimensionUniqueName="[Employe_Performance_dataset]" displayFolder="" count="0" memberValueDatatype="7" unbalanced="0"/>
    <cacheHierarchy uniqueName="[Employe_Performance_dataset].[Performance Score]" caption="Performance Score" attribute="1" defaultMemberUniqueName="[Employe_Performance_dataset].[Performance Score].[All]" allUniqueName="[Employe_Performance_dataset].[Performance Score].[All]" dimensionUniqueName="[Employe_Performance_dataset]" displayFolder="" count="2" memberValueDatatype="20" unbalanced="0">
      <fieldsUsage count="2">
        <fieldUsage x="-1"/>
        <fieldUsage x="2"/>
      </fieldsUsage>
    </cacheHierarchy>
    <cacheHierarchy uniqueName="[Employe_Performance_dataset].[Experience]" caption="Experience" attribute="1" defaultMemberUniqueName="[Employe_Performance_dataset].[Experience].[All]" allUniqueName="[Employe_Performance_dataset].[Experience].[All]" dimensionUniqueName="[Employe_Performance_dataset]" displayFolder="" count="2" memberValueDatatype="20" unbalanced="0">
      <fieldsUsage count="2">
        <fieldUsage x="-1"/>
        <fieldUsage x="3"/>
      </fieldsUsage>
    </cacheHierarchy>
    <cacheHierarchy uniqueName="[Employe_Performance_dataset].[Location]" caption="Location" attribute="1" defaultMemberUniqueName="[Employe_Performance_dataset].[Location].[All]" allUniqueName="[Employe_Performance_dataset].[Location].[All]" dimensionUniqueName="[Employe_Performance_dataset]" displayFolder="" count="2" memberValueDatatype="130" unbalanced="0">
      <fieldsUsage count="2">
        <fieldUsage x="-1"/>
        <fieldUsage x="1"/>
      </fieldsUsage>
    </cacheHierarchy>
    <cacheHierarchy uniqueName="[Employe_Performance_dataset].[Session]" caption="Session" attribute="1" defaultMemberUniqueName="[Employe_Performance_dataset].[Session].[All]" allUniqueName="[Employe_Performance_dataset].[Session].[All]" dimensionUniqueName="[Employe_Performance_dataset]" displayFolder="" count="0" memberValueDatatype="130" unbalanced="0"/>
    <cacheHierarchy uniqueName="[Employe_Performance_dataset].[WorkDuration]" caption="WorkDuration" attribute="1" defaultMemberUniqueName="[Employe_Performance_dataset].[WorkDuration].[All]" allUniqueName="[Employe_Performance_dataset].[WorkDuration].[All]" dimensionUniqueName="[Employe_Performance_dataset]" displayFolder="" count="0" memberValueDatatype="20" unbalanced="0"/>
    <cacheHierarchy uniqueName="[Measures].[Sum of Age]" caption="Sum of Age" measure="1" displayFolder="" measureGroup="Employe_Performance_dataset" count="0">
      <extLst>
        <ext xmlns:x15="http://schemas.microsoft.com/office/spreadsheetml/2010/11/main" uri="{B97F6D7D-B522-45F9-BDA1-12C45D357490}">
          <x15:cacheHierarchy aggregatedColumn="2"/>
        </ext>
      </extLst>
    </cacheHierarchy>
    <cacheHierarchy uniqueName="[Measures].[Max of Age]" caption="Max of Age" measure="1" displayFolder="" measureGroup="Employe_Performance_dataset" count="0">
      <extLst>
        <ext xmlns:x15="http://schemas.microsoft.com/office/spreadsheetml/2010/11/main" uri="{B97F6D7D-B522-45F9-BDA1-12C45D357490}">
          <x15:cacheHierarchy aggregatedColumn="2"/>
        </ext>
      </extLst>
    </cacheHierarchy>
    <cacheHierarchy uniqueName="[Measures].[Count of Joining Date]" caption="Count of Joining Date" measure="1" displayFolder="" measureGroup="Employe_Performance_dataset" count="0">
      <extLst>
        <ext xmlns:x15="http://schemas.microsoft.com/office/spreadsheetml/2010/11/main" uri="{B97F6D7D-B522-45F9-BDA1-12C45D357490}">
          <x15:cacheHierarchy aggregatedColumn="6"/>
        </ext>
      </extLst>
    </cacheHierarchy>
    <cacheHierarchy uniqueName="[Measures].[Sum of WorkDuration]" caption="Sum of WorkDuration" measure="1" displayFolder="" measureGroup="Employe_Performance_dataset" count="0">
      <extLst>
        <ext xmlns:x15="http://schemas.microsoft.com/office/spreadsheetml/2010/11/main" uri="{B97F6D7D-B522-45F9-BDA1-12C45D357490}">
          <x15:cacheHierarchy aggregatedColumn="11"/>
        </ext>
      </extLst>
    </cacheHierarchy>
    <cacheHierarchy uniqueName="[Measures].[Max of WorkDuration]" caption="Max of WorkDuration" measure="1" displayFolder="" measureGroup="Employe_Performance_dataset" count="0">
      <extLst>
        <ext xmlns:x15="http://schemas.microsoft.com/office/spreadsheetml/2010/11/main" uri="{B97F6D7D-B522-45F9-BDA1-12C45D357490}">
          <x15:cacheHierarchy aggregatedColumn="11"/>
        </ext>
      </extLst>
    </cacheHierarchy>
    <cacheHierarchy uniqueName="[Measures].[Count of Name]" caption="Count of Name" measure="1" displayFolder="" measureGroup="Employe_Performance_dataset" count="0">
      <extLst>
        <ext xmlns:x15="http://schemas.microsoft.com/office/spreadsheetml/2010/11/main" uri="{B97F6D7D-B522-45F9-BDA1-12C45D357490}">
          <x15:cacheHierarchy aggregatedColumn="1"/>
        </ext>
      </extLst>
    </cacheHierarchy>
    <cacheHierarchy uniqueName="[Measures].[Sum of Salary]" caption="Sum of Salary" measure="1" displayFolder="" measureGroup="Employe_Performance_dataset" count="0">
      <extLst>
        <ext xmlns:x15="http://schemas.microsoft.com/office/spreadsheetml/2010/11/main" uri="{B97F6D7D-B522-45F9-BDA1-12C45D357490}">
          <x15:cacheHierarchy aggregatedColumn="5"/>
        </ext>
      </extLst>
    </cacheHierarchy>
    <cacheHierarchy uniqueName="[Measures].[Sum of Experience]" caption="Sum of Experience" measure="1" displayFolder="" measureGroup="Employe_Performance_dataset" count="0">
      <extLst>
        <ext xmlns:x15="http://schemas.microsoft.com/office/spreadsheetml/2010/11/main" uri="{B97F6D7D-B522-45F9-BDA1-12C45D357490}">
          <x15:cacheHierarchy aggregatedColumn="8"/>
        </ext>
      </extLst>
    </cacheHierarchy>
    <cacheHierarchy uniqueName="[Measures].[TotalSalary]" caption="TotalSalary" measure="1" displayFolder="" measureGroup="Employe_Performance_dataset" count="0" oneField="1">
      <fieldsUsage count="1">
        <fieldUsage x="0"/>
      </fieldsUsage>
    </cacheHierarchy>
    <cacheHierarchy uniqueName="[Measures].[# TotalEmployees]" caption="# TotalEmployees" measure="1" displayFolder="" measureGroup="Employe_Performance_dataset" count="0"/>
    <cacheHierarchy uniqueName="[Measures].[AvgSalary]" caption="AvgSalary" measure="1" displayFolder="" measureGroup="Employe_Performance_dataset" count="0"/>
    <cacheHierarchy uniqueName="[Measures].[Employee&gt;50]" caption="Employee&gt;50" measure="1" displayFolder="" measureGroup="Employe_Performance_dataset" count="0"/>
    <cacheHierarchy uniqueName="[Measures].[FeEmployee]" caption="FeEmployee" measure="1" displayFolder="" measureGroup="Employe_Performance_dataset" count="0"/>
    <cacheHierarchy uniqueName="[Measures].[__XL_Count Employe_Performance_dataset]" caption="__XL_Count Employe_Performance_dataset" measure="1" displayFolder="" measureGroup="Employe_Performance_dataset" count="0" hidden="1"/>
    <cacheHierarchy uniqueName="[Measures].[__No measures defined]" caption="__No measures defined" measure="1" displayFolder="" count="0" hidden="1"/>
  </cacheHierarchies>
  <kpis count="0"/>
  <dimensions count="2">
    <dimension name="Employe_Performance_dataset" uniqueName="[Employe_Performance_dataset]" caption="Employe_Performance_dataset"/>
    <dimension measure="1" name="Measures" uniqueName="[Measures]" caption="Measures"/>
  </dimensions>
  <measureGroups count="1">
    <measureGroup name="Employe_Performance_dataset" caption="Employe_Performance_dataset"/>
  </measureGroups>
  <maps count="1">
    <map measureGroup="0" dimension="0"/>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sama Muharram" refreshedDate="45658.969919097224" backgroundQuery="1" createdVersion="8" refreshedVersion="8" minRefreshableVersion="3" recordCount="0" supportSubquery="1" supportAdvancedDrill="1" xr:uid="{6CD386F3-D401-4B0C-B7A0-C83C0BBDB9B4}">
  <cacheSource type="external" connectionId="2"/>
  <cacheFields count="7">
    <cacheField name="[Measures].[# TotalEmployees]" caption="# TotalEmployees" numFmtId="0" hierarchy="21" level="32767"/>
    <cacheField name="[Employe_Performance_dataset].[Gender].[Gender]" caption="Gender" numFmtId="0" hierarchy="3" level="1">
      <sharedItems count="3">
        <s v="Female"/>
        <s v="Male"/>
        <s v="Other"/>
      </sharedItems>
    </cacheField>
    <cacheField name="[Employe_Performance_dataset].[Session].[Session]" caption="Session" numFmtId="0" hierarchy="10" level="1">
      <sharedItems count="3">
        <s v="Evening"/>
        <s v="Morning"/>
        <s v="Night"/>
      </sharedItems>
    </cacheField>
    <cacheField name="[Employe_Performance_dataset].[Location].[Location]" caption="Location" numFmtId="0" hierarchy="9" level="1">
      <sharedItems containsSemiMixedTypes="0" containsNonDate="0" containsString="0"/>
    </cacheField>
    <cacheField name="[Employe_Performance_dataset].[Performance Score].[Performance Score]" caption="Performance Score" numFmtId="0" hierarchy="7" level="1">
      <sharedItems containsSemiMixedTypes="0" containsNonDate="0" containsString="0"/>
    </cacheField>
    <cacheField name="[Employe_Performance_dataset].[Experience].[Experience]" caption="Experience" numFmtId="0" hierarchy="8" level="1">
      <sharedItems containsSemiMixedTypes="0" containsNonDate="0" containsString="0"/>
    </cacheField>
    <cacheField name="[Employe_Performance_dataset].[Department].[Department]" caption="Department" numFmtId="0" hierarchy="4" level="1">
      <sharedItems containsSemiMixedTypes="0" containsNonDate="0" containsString="0"/>
    </cacheField>
  </cacheFields>
  <cacheHierarchies count="27">
    <cacheHierarchy uniqueName="[Employe_Performance_dataset].[ID]" caption="ID" attribute="1" defaultMemberUniqueName="[Employe_Performance_dataset].[ID].[All]" allUniqueName="[Employe_Performance_dataset].[ID].[All]" dimensionUniqueName="[Employe_Performance_dataset]" displayFolder="" count="0" memberValueDatatype="20" unbalanced="0"/>
    <cacheHierarchy uniqueName="[Employe_Performance_dataset].[Name]" caption="Name" attribute="1" defaultMemberUniqueName="[Employe_Performance_dataset].[Name].[All]" allUniqueName="[Employe_Performance_dataset].[Name].[All]" dimensionUniqueName="[Employe_Performance_dataset]" displayFolder="" count="0" memberValueDatatype="130" unbalanced="0"/>
    <cacheHierarchy uniqueName="[Employe_Performance_dataset].[Age]" caption="Age" attribute="1" defaultMemberUniqueName="[Employe_Performance_dataset].[Age].[All]" allUniqueName="[Employe_Performance_dataset].[Age].[All]" dimensionUniqueName="[Employe_Performance_dataset]" displayFolder="" count="0" memberValueDatatype="20" unbalanced="0"/>
    <cacheHierarchy uniqueName="[Employe_Performance_dataset].[Gender]" caption="Gender" attribute="1" defaultMemberUniqueName="[Employe_Performance_dataset].[Gender].[All]" allUniqueName="[Employe_Performance_dataset].[Gender].[All]" dimensionUniqueName="[Employe_Performance_dataset]" displayFolder="" count="2" memberValueDatatype="130" unbalanced="0">
      <fieldsUsage count="2">
        <fieldUsage x="-1"/>
        <fieldUsage x="1"/>
      </fieldsUsage>
    </cacheHierarchy>
    <cacheHierarchy uniqueName="[Employe_Performance_dataset].[Department]" caption="Department" attribute="1" defaultMemberUniqueName="[Employe_Performance_dataset].[Department].[All]" allUniqueName="[Employe_Performance_dataset].[Department].[All]" dimensionUniqueName="[Employe_Performance_dataset]" displayFolder="" count="2" memberValueDatatype="130" unbalanced="0">
      <fieldsUsage count="2">
        <fieldUsage x="-1"/>
        <fieldUsage x="6"/>
      </fieldsUsage>
    </cacheHierarchy>
    <cacheHierarchy uniqueName="[Employe_Performance_dataset].[Salary]" caption="Salary" attribute="1" defaultMemberUniqueName="[Employe_Performance_dataset].[Salary].[All]" allUniqueName="[Employe_Performance_dataset].[Salary].[All]" dimensionUniqueName="[Employe_Performance_dataset]" displayFolder="" count="0" memberValueDatatype="20" unbalanced="0"/>
    <cacheHierarchy uniqueName="[Employe_Performance_dataset].[Joining Date]" caption="Joining Date" attribute="1" time="1" defaultMemberUniqueName="[Employe_Performance_dataset].[Joining Date].[All]" allUniqueName="[Employe_Performance_dataset].[Joining Date].[All]" dimensionUniqueName="[Employe_Performance_dataset]" displayFolder="" count="0" memberValueDatatype="7" unbalanced="0"/>
    <cacheHierarchy uniqueName="[Employe_Performance_dataset].[Performance Score]" caption="Performance Score" attribute="1" defaultMemberUniqueName="[Employe_Performance_dataset].[Performance Score].[All]" allUniqueName="[Employe_Performance_dataset].[Performance Score].[All]" dimensionUniqueName="[Employe_Performance_dataset]" displayFolder="" count="2" memberValueDatatype="20" unbalanced="0">
      <fieldsUsage count="2">
        <fieldUsage x="-1"/>
        <fieldUsage x="4"/>
      </fieldsUsage>
    </cacheHierarchy>
    <cacheHierarchy uniqueName="[Employe_Performance_dataset].[Experience]" caption="Experience" attribute="1" defaultMemberUniqueName="[Employe_Performance_dataset].[Experience].[All]" allUniqueName="[Employe_Performance_dataset].[Experience].[All]" dimensionUniqueName="[Employe_Performance_dataset]" displayFolder="" count="2" memberValueDatatype="20" unbalanced="0">
      <fieldsUsage count="2">
        <fieldUsage x="-1"/>
        <fieldUsage x="5"/>
      </fieldsUsage>
    </cacheHierarchy>
    <cacheHierarchy uniqueName="[Employe_Performance_dataset].[Location]" caption="Location" attribute="1" defaultMemberUniqueName="[Employe_Performance_dataset].[Location].[All]" allUniqueName="[Employe_Performance_dataset].[Location].[All]" dimensionUniqueName="[Employe_Performance_dataset]" displayFolder="" count="2" memberValueDatatype="130" unbalanced="0">
      <fieldsUsage count="2">
        <fieldUsage x="-1"/>
        <fieldUsage x="3"/>
      </fieldsUsage>
    </cacheHierarchy>
    <cacheHierarchy uniqueName="[Employe_Performance_dataset].[Session]" caption="Session" attribute="1" defaultMemberUniqueName="[Employe_Performance_dataset].[Session].[All]" allUniqueName="[Employe_Performance_dataset].[Session].[All]" dimensionUniqueName="[Employe_Performance_dataset]" displayFolder="" count="2" memberValueDatatype="130" unbalanced="0">
      <fieldsUsage count="2">
        <fieldUsage x="-1"/>
        <fieldUsage x="2"/>
      </fieldsUsage>
    </cacheHierarchy>
    <cacheHierarchy uniqueName="[Employe_Performance_dataset].[WorkDuration]" caption="WorkDuration" attribute="1" defaultMemberUniqueName="[Employe_Performance_dataset].[WorkDuration].[All]" allUniqueName="[Employe_Performance_dataset].[WorkDuration].[All]" dimensionUniqueName="[Employe_Performance_dataset]" displayFolder="" count="0" memberValueDatatype="20" unbalanced="0"/>
    <cacheHierarchy uniqueName="[Measures].[Sum of Age]" caption="Sum of Age" measure="1" displayFolder="" measureGroup="Employe_Performance_dataset" count="0">
      <extLst>
        <ext xmlns:x15="http://schemas.microsoft.com/office/spreadsheetml/2010/11/main" uri="{B97F6D7D-B522-45F9-BDA1-12C45D357490}">
          <x15:cacheHierarchy aggregatedColumn="2"/>
        </ext>
      </extLst>
    </cacheHierarchy>
    <cacheHierarchy uniqueName="[Measures].[Max of Age]" caption="Max of Age" measure="1" displayFolder="" measureGroup="Employe_Performance_dataset" count="0">
      <extLst>
        <ext xmlns:x15="http://schemas.microsoft.com/office/spreadsheetml/2010/11/main" uri="{B97F6D7D-B522-45F9-BDA1-12C45D357490}">
          <x15:cacheHierarchy aggregatedColumn="2"/>
        </ext>
      </extLst>
    </cacheHierarchy>
    <cacheHierarchy uniqueName="[Measures].[Count of Joining Date]" caption="Count of Joining Date" measure="1" displayFolder="" measureGroup="Employe_Performance_dataset" count="0">
      <extLst>
        <ext xmlns:x15="http://schemas.microsoft.com/office/spreadsheetml/2010/11/main" uri="{B97F6D7D-B522-45F9-BDA1-12C45D357490}">
          <x15:cacheHierarchy aggregatedColumn="6"/>
        </ext>
      </extLst>
    </cacheHierarchy>
    <cacheHierarchy uniqueName="[Measures].[Sum of WorkDuration]" caption="Sum of WorkDuration" measure="1" displayFolder="" measureGroup="Employe_Performance_dataset" count="0">
      <extLst>
        <ext xmlns:x15="http://schemas.microsoft.com/office/spreadsheetml/2010/11/main" uri="{B97F6D7D-B522-45F9-BDA1-12C45D357490}">
          <x15:cacheHierarchy aggregatedColumn="11"/>
        </ext>
      </extLst>
    </cacheHierarchy>
    <cacheHierarchy uniqueName="[Measures].[Max of WorkDuration]" caption="Max of WorkDuration" measure="1" displayFolder="" measureGroup="Employe_Performance_dataset" count="0">
      <extLst>
        <ext xmlns:x15="http://schemas.microsoft.com/office/spreadsheetml/2010/11/main" uri="{B97F6D7D-B522-45F9-BDA1-12C45D357490}">
          <x15:cacheHierarchy aggregatedColumn="11"/>
        </ext>
      </extLst>
    </cacheHierarchy>
    <cacheHierarchy uniqueName="[Measures].[Count of Name]" caption="Count of Name" measure="1" displayFolder="" measureGroup="Employe_Performance_dataset" count="0">
      <extLst>
        <ext xmlns:x15="http://schemas.microsoft.com/office/spreadsheetml/2010/11/main" uri="{B97F6D7D-B522-45F9-BDA1-12C45D357490}">
          <x15:cacheHierarchy aggregatedColumn="1"/>
        </ext>
      </extLst>
    </cacheHierarchy>
    <cacheHierarchy uniqueName="[Measures].[Sum of Salary]" caption="Sum of Salary" measure="1" displayFolder="" measureGroup="Employe_Performance_dataset" count="0">
      <extLst>
        <ext xmlns:x15="http://schemas.microsoft.com/office/spreadsheetml/2010/11/main" uri="{B97F6D7D-B522-45F9-BDA1-12C45D357490}">
          <x15:cacheHierarchy aggregatedColumn="5"/>
        </ext>
      </extLst>
    </cacheHierarchy>
    <cacheHierarchy uniqueName="[Measures].[Sum of Experience]" caption="Sum of Experience" measure="1" displayFolder="" measureGroup="Employe_Performance_dataset" count="0">
      <extLst>
        <ext xmlns:x15="http://schemas.microsoft.com/office/spreadsheetml/2010/11/main" uri="{B97F6D7D-B522-45F9-BDA1-12C45D357490}">
          <x15:cacheHierarchy aggregatedColumn="8"/>
        </ext>
      </extLst>
    </cacheHierarchy>
    <cacheHierarchy uniqueName="[Measures].[TotalSalary]" caption="TotalSalary" measure="1" displayFolder="" measureGroup="Employe_Performance_dataset" count="0"/>
    <cacheHierarchy uniqueName="[Measures].[# TotalEmployees]" caption="# TotalEmployees" measure="1" displayFolder="" measureGroup="Employe_Performance_dataset" count="0" oneField="1">
      <fieldsUsage count="1">
        <fieldUsage x="0"/>
      </fieldsUsage>
    </cacheHierarchy>
    <cacheHierarchy uniqueName="[Measures].[AvgSalary]" caption="AvgSalary" measure="1" displayFolder="" measureGroup="Employe_Performance_dataset" count="0"/>
    <cacheHierarchy uniqueName="[Measures].[Employee&gt;50]" caption="Employee&gt;50" measure="1" displayFolder="" measureGroup="Employe_Performance_dataset" count="0"/>
    <cacheHierarchy uniqueName="[Measures].[FeEmployee]" caption="FeEmployee" measure="1" displayFolder="" measureGroup="Employe_Performance_dataset" count="0"/>
    <cacheHierarchy uniqueName="[Measures].[__XL_Count Employe_Performance_dataset]" caption="__XL_Count Employe_Performance_dataset" measure="1" displayFolder="" measureGroup="Employe_Performance_dataset" count="0" hidden="1"/>
    <cacheHierarchy uniqueName="[Measures].[__No measures defined]" caption="__No measures defined" measure="1" displayFolder="" count="0" hidden="1"/>
  </cacheHierarchies>
  <kpis count="0"/>
  <dimensions count="2">
    <dimension name="Employe_Performance_dataset" uniqueName="[Employe_Performance_dataset]" caption="Employe_Performance_dataset"/>
    <dimension measure="1" name="Measures" uniqueName="[Measures]" caption="Measures"/>
  </dimensions>
  <measureGroups count="1">
    <measureGroup name="Employe_Performance_dataset" caption="Employe_Performance_dataset"/>
  </measureGroups>
  <maps count="1">
    <map measureGroup="0" dimension="0"/>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sama Muharram" refreshedDate="45658.969922916665" backgroundQuery="1" createdVersion="8" refreshedVersion="8" minRefreshableVersion="3" recordCount="0" supportSubquery="1" supportAdvancedDrill="1" xr:uid="{1FEFBE83-1855-45D5-BF36-2AF076D84A7F}">
  <cacheSource type="external" connectionId="2"/>
  <cacheFields count="5">
    <cacheField name="[Employe_Performance_dataset].[Location].[Location]" caption="Location" numFmtId="0" hierarchy="9" level="1">
      <sharedItems count="3">
        <s v="Chicago"/>
        <s v="Los Angeles"/>
        <s v="New York"/>
      </sharedItems>
    </cacheField>
    <cacheField name="[Measures].[TotalSalary]" caption="TotalSalary" numFmtId="0" hierarchy="20" level="32767"/>
    <cacheField name="[Employe_Performance_dataset].[Department].[Department]" caption="Department" numFmtId="0" hierarchy="4" level="1">
      <sharedItems count="3">
        <s v="HR"/>
        <s v="IT"/>
        <s v="Sales"/>
      </sharedItems>
    </cacheField>
    <cacheField name="[Employe_Performance_dataset].[Performance Score].[Performance Score]" caption="Performance Score" numFmtId="0" hierarchy="7" level="1">
      <sharedItems containsSemiMixedTypes="0" containsNonDate="0" containsString="0"/>
    </cacheField>
    <cacheField name="[Employe_Performance_dataset].[Experience].[Experience]" caption="Experience" numFmtId="0" hierarchy="8" level="1">
      <sharedItems containsSemiMixedTypes="0" containsNonDate="0" containsString="0"/>
    </cacheField>
  </cacheFields>
  <cacheHierarchies count="27">
    <cacheHierarchy uniqueName="[Employe_Performance_dataset].[ID]" caption="ID" attribute="1" defaultMemberUniqueName="[Employe_Performance_dataset].[ID].[All]" allUniqueName="[Employe_Performance_dataset].[ID].[All]" dimensionUniqueName="[Employe_Performance_dataset]" displayFolder="" count="0" memberValueDatatype="20" unbalanced="0"/>
    <cacheHierarchy uniqueName="[Employe_Performance_dataset].[Name]" caption="Name" attribute="1" defaultMemberUniqueName="[Employe_Performance_dataset].[Name].[All]" allUniqueName="[Employe_Performance_dataset].[Name].[All]" dimensionUniqueName="[Employe_Performance_dataset]" displayFolder="" count="0" memberValueDatatype="130" unbalanced="0"/>
    <cacheHierarchy uniqueName="[Employe_Performance_dataset].[Age]" caption="Age" attribute="1" defaultMemberUniqueName="[Employe_Performance_dataset].[Age].[All]" allUniqueName="[Employe_Performance_dataset].[Age].[All]" dimensionUniqueName="[Employe_Performance_dataset]" displayFolder="" count="0" memberValueDatatype="20" unbalanced="0"/>
    <cacheHierarchy uniqueName="[Employe_Performance_dataset].[Gender]" caption="Gender" attribute="1" defaultMemberUniqueName="[Employe_Performance_dataset].[Gender].[All]" allUniqueName="[Employe_Performance_dataset].[Gender].[All]" dimensionUniqueName="[Employe_Performance_dataset]" displayFolder="" count="0" memberValueDatatype="130" unbalanced="0"/>
    <cacheHierarchy uniqueName="[Employe_Performance_dataset].[Department]" caption="Department" attribute="1" defaultMemberUniqueName="[Employe_Performance_dataset].[Department].[All]" allUniqueName="[Employe_Performance_dataset].[Department].[All]" dimensionUniqueName="[Employe_Performance_dataset]" displayFolder="" count="2" memberValueDatatype="130" unbalanced="0">
      <fieldsUsage count="2">
        <fieldUsage x="-1"/>
        <fieldUsage x="2"/>
      </fieldsUsage>
    </cacheHierarchy>
    <cacheHierarchy uniqueName="[Employe_Performance_dataset].[Salary]" caption="Salary" attribute="1" defaultMemberUniqueName="[Employe_Performance_dataset].[Salary].[All]" allUniqueName="[Employe_Performance_dataset].[Salary].[All]" dimensionUniqueName="[Employe_Performance_dataset]" displayFolder="" count="0" memberValueDatatype="20" unbalanced="0"/>
    <cacheHierarchy uniqueName="[Employe_Performance_dataset].[Joining Date]" caption="Joining Date" attribute="1" time="1" defaultMemberUniqueName="[Employe_Performance_dataset].[Joining Date].[All]" allUniqueName="[Employe_Performance_dataset].[Joining Date].[All]" dimensionUniqueName="[Employe_Performance_dataset]" displayFolder="" count="0" memberValueDatatype="7" unbalanced="0"/>
    <cacheHierarchy uniqueName="[Employe_Performance_dataset].[Performance Score]" caption="Performance Score" attribute="1" defaultMemberUniqueName="[Employe_Performance_dataset].[Performance Score].[All]" allUniqueName="[Employe_Performance_dataset].[Performance Score].[All]" dimensionUniqueName="[Employe_Performance_dataset]" displayFolder="" count="2" memberValueDatatype="20" unbalanced="0">
      <fieldsUsage count="2">
        <fieldUsage x="-1"/>
        <fieldUsage x="3"/>
      </fieldsUsage>
    </cacheHierarchy>
    <cacheHierarchy uniqueName="[Employe_Performance_dataset].[Experience]" caption="Experience" attribute="1" defaultMemberUniqueName="[Employe_Performance_dataset].[Experience].[All]" allUniqueName="[Employe_Performance_dataset].[Experience].[All]" dimensionUniqueName="[Employe_Performance_dataset]" displayFolder="" count="2" memberValueDatatype="20" unbalanced="0">
      <fieldsUsage count="2">
        <fieldUsage x="-1"/>
        <fieldUsage x="4"/>
      </fieldsUsage>
    </cacheHierarchy>
    <cacheHierarchy uniqueName="[Employe_Performance_dataset].[Location]" caption="Location" attribute="1" defaultMemberUniqueName="[Employe_Performance_dataset].[Location].[All]" allUniqueName="[Employe_Performance_dataset].[Location].[All]" dimensionUniqueName="[Employe_Performance_dataset]" displayFolder="" count="2" memberValueDatatype="130" unbalanced="0">
      <fieldsUsage count="2">
        <fieldUsage x="-1"/>
        <fieldUsage x="0"/>
      </fieldsUsage>
    </cacheHierarchy>
    <cacheHierarchy uniqueName="[Employe_Performance_dataset].[Session]" caption="Session" attribute="1" defaultMemberUniqueName="[Employe_Performance_dataset].[Session].[All]" allUniqueName="[Employe_Performance_dataset].[Session].[All]" dimensionUniqueName="[Employe_Performance_dataset]" displayFolder="" count="0" memberValueDatatype="130" unbalanced="0"/>
    <cacheHierarchy uniqueName="[Employe_Performance_dataset].[WorkDuration]" caption="WorkDuration" attribute="1" defaultMemberUniqueName="[Employe_Performance_dataset].[WorkDuration].[All]" allUniqueName="[Employe_Performance_dataset].[WorkDuration].[All]" dimensionUniqueName="[Employe_Performance_dataset]" displayFolder="" count="0" memberValueDatatype="20" unbalanced="0"/>
    <cacheHierarchy uniqueName="[Measures].[Sum of Age]" caption="Sum of Age" measure="1" displayFolder="" measureGroup="Employe_Performance_dataset" count="0">
      <extLst>
        <ext xmlns:x15="http://schemas.microsoft.com/office/spreadsheetml/2010/11/main" uri="{B97F6D7D-B522-45F9-BDA1-12C45D357490}">
          <x15:cacheHierarchy aggregatedColumn="2"/>
        </ext>
      </extLst>
    </cacheHierarchy>
    <cacheHierarchy uniqueName="[Measures].[Max of Age]" caption="Max of Age" measure="1" displayFolder="" measureGroup="Employe_Performance_dataset" count="0">
      <extLst>
        <ext xmlns:x15="http://schemas.microsoft.com/office/spreadsheetml/2010/11/main" uri="{B97F6D7D-B522-45F9-BDA1-12C45D357490}">
          <x15:cacheHierarchy aggregatedColumn="2"/>
        </ext>
      </extLst>
    </cacheHierarchy>
    <cacheHierarchy uniqueName="[Measures].[Count of Joining Date]" caption="Count of Joining Date" measure="1" displayFolder="" measureGroup="Employe_Performance_dataset" count="0">
      <extLst>
        <ext xmlns:x15="http://schemas.microsoft.com/office/spreadsheetml/2010/11/main" uri="{B97F6D7D-B522-45F9-BDA1-12C45D357490}">
          <x15:cacheHierarchy aggregatedColumn="6"/>
        </ext>
      </extLst>
    </cacheHierarchy>
    <cacheHierarchy uniqueName="[Measures].[Sum of WorkDuration]" caption="Sum of WorkDuration" measure="1" displayFolder="" measureGroup="Employe_Performance_dataset" count="0">
      <extLst>
        <ext xmlns:x15="http://schemas.microsoft.com/office/spreadsheetml/2010/11/main" uri="{B97F6D7D-B522-45F9-BDA1-12C45D357490}">
          <x15:cacheHierarchy aggregatedColumn="11"/>
        </ext>
      </extLst>
    </cacheHierarchy>
    <cacheHierarchy uniqueName="[Measures].[Max of WorkDuration]" caption="Max of WorkDuration" measure="1" displayFolder="" measureGroup="Employe_Performance_dataset" count="0">
      <extLst>
        <ext xmlns:x15="http://schemas.microsoft.com/office/spreadsheetml/2010/11/main" uri="{B97F6D7D-B522-45F9-BDA1-12C45D357490}">
          <x15:cacheHierarchy aggregatedColumn="11"/>
        </ext>
      </extLst>
    </cacheHierarchy>
    <cacheHierarchy uniqueName="[Measures].[Count of Name]" caption="Count of Name" measure="1" displayFolder="" measureGroup="Employe_Performance_dataset" count="0">
      <extLst>
        <ext xmlns:x15="http://schemas.microsoft.com/office/spreadsheetml/2010/11/main" uri="{B97F6D7D-B522-45F9-BDA1-12C45D357490}">
          <x15:cacheHierarchy aggregatedColumn="1"/>
        </ext>
      </extLst>
    </cacheHierarchy>
    <cacheHierarchy uniqueName="[Measures].[Sum of Salary]" caption="Sum of Salary" measure="1" displayFolder="" measureGroup="Employe_Performance_dataset" count="0">
      <extLst>
        <ext xmlns:x15="http://schemas.microsoft.com/office/spreadsheetml/2010/11/main" uri="{B97F6D7D-B522-45F9-BDA1-12C45D357490}">
          <x15:cacheHierarchy aggregatedColumn="5"/>
        </ext>
      </extLst>
    </cacheHierarchy>
    <cacheHierarchy uniqueName="[Measures].[Sum of Experience]" caption="Sum of Experience" measure="1" displayFolder="" measureGroup="Employe_Performance_dataset" count="0">
      <extLst>
        <ext xmlns:x15="http://schemas.microsoft.com/office/spreadsheetml/2010/11/main" uri="{B97F6D7D-B522-45F9-BDA1-12C45D357490}">
          <x15:cacheHierarchy aggregatedColumn="8"/>
        </ext>
      </extLst>
    </cacheHierarchy>
    <cacheHierarchy uniqueName="[Measures].[TotalSalary]" caption="TotalSalary" measure="1" displayFolder="" measureGroup="Employe_Performance_dataset" count="0" oneField="1">
      <fieldsUsage count="1">
        <fieldUsage x="1"/>
      </fieldsUsage>
    </cacheHierarchy>
    <cacheHierarchy uniqueName="[Measures].[# TotalEmployees]" caption="# TotalEmployees" measure="1" displayFolder="" measureGroup="Employe_Performance_dataset" count="0"/>
    <cacheHierarchy uniqueName="[Measures].[AvgSalary]" caption="AvgSalary" measure="1" displayFolder="" measureGroup="Employe_Performance_dataset" count="0"/>
    <cacheHierarchy uniqueName="[Measures].[Employee&gt;50]" caption="Employee&gt;50" measure="1" displayFolder="" measureGroup="Employe_Performance_dataset" count="0"/>
    <cacheHierarchy uniqueName="[Measures].[FeEmployee]" caption="FeEmployee" measure="1" displayFolder="" measureGroup="Employe_Performance_dataset" count="0"/>
    <cacheHierarchy uniqueName="[Measures].[__XL_Count Employe_Performance_dataset]" caption="__XL_Count Employe_Performance_dataset" measure="1" displayFolder="" measureGroup="Employe_Performance_dataset" count="0" hidden="1"/>
    <cacheHierarchy uniqueName="[Measures].[__No measures defined]" caption="__No measures defined" measure="1" displayFolder="" count="0" hidden="1"/>
  </cacheHierarchies>
  <kpis count="0"/>
  <dimensions count="2">
    <dimension name="Employe_Performance_dataset" uniqueName="[Employe_Performance_dataset]" caption="Employe_Performance_dataset"/>
    <dimension measure="1" name="Measures" uniqueName="[Measures]" caption="Measures"/>
  </dimensions>
  <measureGroups count="1">
    <measureGroup name="Employe_Performance_dataset" caption="Employe_Performance_dataset"/>
  </measureGroups>
  <maps count="1">
    <map measureGroup="0" dimension="0"/>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sama Muharram" refreshedDate="45658.969925231482" backgroundQuery="1" createdVersion="8" refreshedVersion="8" minRefreshableVersion="3" recordCount="0" supportSubquery="1" supportAdvancedDrill="1" xr:uid="{3BE62A24-FE65-466E-B588-52F1E20DD63C}">
  <cacheSource type="external" connectionId="2"/>
  <cacheFields count="4">
    <cacheField name="[Measures].[# TotalEmployees]" caption="# TotalEmployees" numFmtId="0" hierarchy="21" level="32767"/>
    <cacheField name="[Employe_Performance_dataset].[Gender].[Gender]" caption="Gender" numFmtId="0" hierarchy="3" level="1">
      <sharedItems count="3">
        <s v="Female"/>
        <s v="Male"/>
        <s v="Other"/>
      </sharedItems>
    </cacheField>
    <cacheField name="[Employe_Performance_dataset].[Location].[Location]" caption="Location" numFmtId="0" hierarchy="9" level="1">
      <sharedItems containsSemiMixedTypes="0" containsNonDate="0" containsString="0"/>
    </cacheField>
    <cacheField name="[Employe_Performance_dataset].[Department].[Department]" caption="Department" numFmtId="0" hierarchy="4" level="1">
      <sharedItems containsSemiMixedTypes="0" containsNonDate="0" containsString="0"/>
    </cacheField>
  </cacheFields>
  <cacheHierarchies count="27">
    <cacheHierarchy uniqueName="[Employe_Performance_dataset].[ID]" caption="ID" attribute="1" defaultMemberUniqueName="[Employe_Performance_dataset].[ID].[All]" allUniqueName="[Employe_Performance_dataset].[ID].[All]" dimensionUniqueName="[Employe_Performance_dataset]" displayFolder="" count="0" memberValueDatatype="20" unbalanced="0"/>
    <cacheHierarchy uniqueName="[Employe_Performance_dataset].[Name]" caption="Name" attribute="1" defaultMemberUniqueName="[Employe_Performance_dataset].[Name].[All]" allUniqueName="[Employe_Performance_dataset].[Name].[All]" dimensionUniqueName="[Employe_Performance_dataset]" displayFolder="" count="0" memberValueDatatype="130" unbalanced="0"/>
    <cacheHierarchy uniqueName="[Employe_Performance_dataset].[Age]" caption="Age" attribute="1" defaultMemberUniqueName="[Employe_Performance_dataset].[Age].[All]" allUniqueName="[Employe_Performance_dataset].[Age].[All]" dimensionUniqueName="[Employe_Performance_dataset]" displayFolder="" count="0" memberValueDatatype="20" unbalanced="0"/>
    <cacheHierarchy uniqueName="[Employe_Performance_dataset].[Gender]" caption="Gender" attribute="1" defaultMemberUniqueName="[Employe_Performance_dataset].[Gender].[All]" allUniqueName="[Employe_Performance_dataset].[Gender].[All]" dimensionUniqueName="[Employe_Performance_dataset]" displayFolder="" count="2" memberValueDatatype="130" unbalanced="0">
      <fieldsUsage count="2">
        <fieldUsage x="-1"/>
        <fieldUsage x="1"/>
      </fieldsUsage>
    </cacheHierarchy>
    <cacheHierarchy uniqueName="[Employe_Performance_dataset].[Department]" caption="Department" attribute="1" defaultMemberUniqueName="[Employe_Performance_dataset].[Department].[All]" allUniqueName="[Employe_Performance_dataset].[Department].[All]" dimensionUniqueName="[Employe_Performance_dataset]" displayFolder="" count="2" memberValueDatatype="130" unbalanced="0">
      <fieldsUsage count="2">
        <fieldUsage x="-1"/>
        <fieldUsage x="3"/>
      </fieldsUsage>
    </cacheHierarchy>
    <cacheHierarchy uniqueName="[Employe_Performance_dataset].[Salary]" caption="Salary" attribute="1" defaultMemberUniqueName="[Employe_Performance_dataset].[Salary].[All]" allUniqueName="[Employe_Performance_dataset].[Salary].[All]" dimensionUniqueName="[Employe_Performance_dataset]" displayFolder="" count="0" memberValueDatatype="20" unbalanced="0"/>
    <cacheHierarchy uniqueName="[Employe_Performance_dataset].[Joining Date]" caption="Joining Date" attribute="1" time="1" defaultMemberUniqueName="[Employe_Performance_dataset].[Joining Date].[All]" allUniqueName="[Employe_Performance_dataset].[Joining Date].[All]" dimensionUniqueName="[Employe_Performance_dataset]" displayFolder="" count="0" memberValueDatatype="7" unbalanced="0"/>
    <cacheHierarchy uniqueName="[Employe_Performance_dataset].[Performance Score]" caption="Performance Score" attribute="1" defaultMemberUniqueName="[Employe_Performance_dataset].[Performance Score].[All]" allUniqueName="[Employe_Performance_dataset].[Performance Score].[All]" dimensionUniqueName="[Employe_Performance_dataset]" displayFolder="" count="0" memberValueDatatype="20" unbalanced="0"/>
    <cacheHierarchy uniqueName="[Employe_Performance_dataset].[Experience]" caption="Experience" attribute="1" defaultMemberUniqueName="[Employe_Performance_dataset].[Experience].[All]" allUniqueName="[Employe_Performance_dataset].[Experience].[All]" dimensionUniqueName="[Employe_Performance_dataset]" displayFolder="" count="0" memberValueDatatype="20" unbalanced="0"/>
    <cacheHierarchy uniqueName="[Employe_Performance_dataset].[Location]" caption="Location" attribute="1" defaultMemberUniqueName="[Employe_Performance_dataset].[Location].[All]" allUniqueName="[Employe_Performance_dataset].[Location].[All]" dimensionUniqueName="[Employe_Performance_dataset]" displayFolder="" count="2" memberValueDatatype="130" unbalanced="0">
      <fieldsUsage count="2">
        <fieldUsage x="-1"/>
        <fieldUsage x="2"/>
      </fieldsUsage>
    </cacheHierarchy>
    <cacheHierarchy uniqueName="[Employe_Performance_dataset].[Session]" caption="Session" attribute="1" defaultMemberUniqueName="[Employe_Performance_dataset].[Session].[All]" allUniqueName="[Employe_Performance_dataset].[Session].[All]" dimensionUniqueName="[Employe_Performance_dataset]" displayFolder="" count="0" memberValueDatatype="130" unbalanced="0"/>
    <cacheHierarchy uniqueName="[Employe_Performance_dataset].[WorkDuration]" caption="WorkDuration" attribute="1" defaultMemberUniqueName="[Employe_Performance_dataset].[WorkDuration].[All]" allUniqueName="[Employe_Performance_dataset].[WorkDuration].[All]" dimensionUniqueName="[Employe_Performance_dataset]" displayFolder="" count="0" memberValueDatatype="20" unbalanced="0"/>
    <cacheHierarchy uniqueName="[Measures].[Sum of Age]" caption="Sum of Age" measure="1" displayFolder="" measureGroup="Employe_Performance_dataset" count="0">
      <extLst>
        <ext xmlns:x15="http://schemas.microsoft.com/office/spreadsheetml/2010/11/main" uri="{B97F6D7D-B522-45F9-BDA1-12C45D357490}">
          <x15:cacheHierarchy aggregatedColumn="2"/>
        </ext>
      </extLst>
    </cacheHierarchy>
    <cacheHierarchy uniqueName="[Measures].[Max of Age]" caption="Max of Age" measure="1" displayFolder="" measureGroup="Employe_Performance_dataset" count="0">
      <extLst>
        <ext xmlns:x15="http://schemas.microsoft.com/office/spreadsheetml/2010/11/main" uri="{B97F6D7D-B522-45F9-BDA1-12C45D357490}">
          <x15:cacheHierarchy aggregatedColumn="2"/>
        </ext>
      </extLst>
    </cacheHierarchy>
    <cacheHierarchy uniqueName="[Measures].[Count of Joining Date]" caption="Count of Joining Date" measure="1" displayFolder="" measureGroup="Employe_Performance_dataset" count="0">
      <extLst>
        <ext xmlns:x15="http://schemas.microsoft.com/office/spreadsheetml/2010/11/main" uri="{B97F6D7D-B522-45F9-BDA1-12C45D357490}">
          <x15:cacheHierarchy aggregatedColumn="6"/>
        </ext>
      </extLst>
    </cacheHierarchy>
    <cacheHierarchy uniqueName="[Measures].[Sum of WorkDuration]" caption="Sum of WorkDuration" measure="1" displayFolder="" measureGroup="Employe_Performance_dataset" count="0">
      <extLst>
        <ext xmlns:x15="http://schemas.microsoft.com/office/spreadsheetml/2010/11/main" uri="{B97F6D7D-B522-45F9-BDA1-12C45D357490}">
          <x15:cacheHierarchy aggregatedColumn="11"/>
        </ext>
      </extLst>
    </cacheHierarchy>
    <cacheHierarchy uniqueName="[Measures].[Max of WorkDuration]" caption="Max of WorkDuration" measure="1" displayFolder="" measureGroup="Employe_Performance_dataset" count="0">
      <extLst>
        <ext xmlns:x15="http://schemas.microsoft.com/office/spreadsheetml/2010/11/main" uri="{B97F6D7D-B522-45F9-BDA1-12C45D357490}">
          <x15:cacheHierarchy aggregatedColumn="11"/>
        </ext>
      </extLst>
    </cacheHierarchy>
    <cacheHierarchy uniqueName="[Measures].[Count of Name]" caption="Count of Name" measure="1" displayFolder="" measureGroup="Employe_Performance_dataset" count="0">
      <extLst>
        <ext xmlns:x15="http://schemas.microsoft.com/office/spreadsheetml/2010/11/main" uri="{B97F6D7D-B522-45F9-BDA1-12C45D357490}">
          <x15:cacheHierarchy aggregatedColumn="1"/>
        </ext>
      </extLst>
    </cacheHierarchy>
    <cacheHierarchy uniqueName="[Measures].[Sum of Salary]" caption="Sum of Salary" measure="1" displayFolder="" measureGroup="Employe_Performance_dataset" count="0">
      <extLst>
        <ext xmlns:x15="http://schemas.microsoft.com/office/spreadsheetml/2010/11/main" uri="{B97F6D7D-B522-45F9-BDA1-12C45D357490}">
          <x15:cacheHierarchy aggregatedColumn="5"/>
        </ext>
      </extLst>
    </cacheHierarchy>
    <cacheHierarchy uniqueName="[Measures].[Sum of Experience]" caption="Sum of Experience" measure="1" displayFolder="" measureGroup="Employe_Performance_dataset" count="0">
      <extLst>
        <ext xmlns:x15="http://schemas.microsoft.com/office/spreadsheetml/2010/11/main" uri="{B97F6D7D-B522-45F9-BDA1-12C45D357490}">
          <x15:cacheHierarchy aggregatedColumn="8"/>
        </ext>
      </extLst>
    </cacheHierarchy>
    <cacheHierarchy uniqueName="[Measures].[TotalSalary]" caption="TotalSalary" measure="1" displayFolder="" measureGroup="Employe_Performance_dataset" count="0"/>
    <cacheHierarchy uniqueName="[Measures].[# TotalEmployees]" caption="# TotalEmployees" measure="1" displayFolder="" measureGroup="Employe_Performance_dataset" count="0" oneField="1">
      <fieldsUsage count="1">
        <fieldUsage x="0"/>
      </fieldsUsage>
    </cacheHierarchy>
    <cacheHierarchy uniqueName="[Measures].[AvgSalary]" caption="AvgSalary" measure="1" displayFolder="" measureGroup="Employe_Performance_dataset" count="0"/>
    <cacheHierarchy uniqueName="[Measures].[Employee&gt;50]" caption="Employee&gt;50" measure="1" displayFolder="" measureGroup="Employe_Performance_dataset" count="0"/>
    <cacheHierarchy uniqueName="[Measures].[FeEmployee]" caption="FeEmployee" measure="1" displayFolder="" measureGroup="Employe_Performance_dataset" count="0"/>
    <cacheHierarchy uniqueName="[Measures].[__XL_Count Employe_Performance_dataset]" caption="__XL_Count Employe_Performance_dataset" measure="1" displayFolder="" measureGroup="Employe_Performance_dataset" count="0" hidden="1"/>
    <cacheHierarchy uniqueName="[Measures].[__No measures defined]" caption="__No measures defined" measure="1" displayFolder="" count="0" hidden="1"/>
  </cacheHierarchies>
  <kpis count="0"/>
  <dimensions count="2">
    <dimension name="Employe_Performance_dataset" uniqueName="[Employe_Performance_dataset]" caption="Employe_Performance_dataset"/>
    <dimension measure="1" name="Measures" uniqueName="[Measures]" caption="Measures"/>
  </dimensions>
  <measureGroups count="1">
    <measureGroup name="Employe_Performance_dataset" caption="Employe_Performance_dataset"/>
  </measureGroups>
  <maps count="1">
    <map measureGroup="0" dimension="0"/>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sama Muharram" refreshedDate="45658.9699287037" backgroundQuery="1" createdVersion="8" refreshedVersion="8" minRefreshableVersion="3" recordCount="0" supportSubquery="1" supportAdvancedDrill="1" xr:uid="{9131ADB8-47C5-4FAA-B59E-1896D9BE5B2D}">
  <cacheSource type="external" connectionId="2"/>
  <cacheFields count="5">
    <cacheField name="[Employe_Performance_dataset].[Location].[Location]" caption="Location" numFmtId="0" hierarchy="9" level="1">
      <sharedItems count="3">
        <s v="Chicago"/>
        <s v="Los Angeles"/>
        <s v="New York"/>
      </sharedItems>
    </cacheField>
    <cacheField name="[Measures].[TotalSalary]" caption="TotalSalary" numFmtId="0" hierarchy="20" level="32767"/>
    <cacheField name="[Employe_Performance_dataset].[Department].[Department]" caption="Department" numFmtId="0" hierarchy="4" level="1">
      <sharedItems count="3">
        <s v="HR"/>
        <s v="IT"/>
        <s v="Sales"/>
      </sharedItems>
    </cacheField>
    <cacheField name="[Employe_Performance_dataset].[Performance Score].[Performance Score]" caption="Performance Score" numFmtId="0" hierarchy="7" level="1">
      <sharedItems containsSemiMixedTypes="0" containsNonDate="0" containsString="0"/>
    </cacheField>
    <cacheField name="[Employe_Performance_dataset].[Experience].[Experience]" caption="Experience" numFmtId="0" hierarchy="8" level="1">
      <sharedItems containsSemiMixedTypes="0" containsNonDate="0" containsString="0"/>
    </cacheField>
  </cacheFields>
  <cacheHierarchies count="27">
    <cacheHierarchy uniqueName="[Employe_Performance_dataset].[ID]" caption="ID" attribute="1" defaultMemberUniqueName="[Employe_Performance_dataset].[ID].[All]" allUniqueName="[Employe_Performance_dataset].[ID].[All]" dimensionUniqueName="[Employe_Performance_dataset]" displayFolder="" count="0" memberValueDatatype="20" unbalanced="0"/>
    <cacheHierarchy uniqueName="[Employe_Performance_dataset].[Name]" caption="Name" attribute="1" defaultMemberUniqueName="[Employe_Performance_dataset].[Name].[All]" allUniqueName="[Employe_Performance_dataset].[Name].[All]" dimensionUniqueName="[Employe_Performance_dataset]" displayFolder="" count="0" memberValueDatatype="130" unbalanced="0"/>
    <cacheHierarchy uniqueName="[Employe_Performance_dataset].[Age]" caption="Age" attribute="1" defaultMemberUniqueName="[Employe_Performance_dataset].[Age].[All]" allUniqueName="[Employe_Performance_dataset].[Age].[All]" dimensionUniqueName="[Employe_Performance_dataset]" displayFolder="" count="0" memberValueDatatype="20" unbalanced="0"/>
    <cacheHierarchy uniqueName="[Employe_Performance_dataset].[Gender]" caption="Gender" attribute="1" defaultMemberUniqueName="[Employe_Performance_dataset].[Gender].[All]" allUniqueName="[Employe_Performance_dataset].[Gender].[All]" dimensionUniqueName="[Employe_Performance_dataset]" displayFolder="" count="0" memberValueDatatype="130" unbalanced="0"/>
    <cacheHierarchy uniqueName="[Employe_Performance_dataset].[Department]" caption="Department" attribute="1" defaultMemberUniqueName="[Employe_Performance_dataset].[Department].[All]" allUniqueName="[Employe_Performance_dataset].[Department].[All]" dimensionUniqueName="[Employe_Performance_dataset]" displayFolder="" count="2" memberValueDatatype="130" unbalanced="0">
      <fieldsUsage count="2">
        <fieldUsage x="-1"/>
        <fieldUsage x="2"/>
      </fieldsUsage>
    </cacheHierarchy>
    <cacheHierarchy uniqueName="[Employe_Performance_dataset].[Salary]" caption="Salary" attribute="1" defaultMemberUniqueName="[Employe_Performance_dataset].[Salary].[All]" allUniqueName="[Employe_Performance_dataset].[Salary].[All]" dimensionUniqueName="[Employe_Performance_dataset]" displayFolder="" count="0" memberValueDatatype="20" unbalanced="0"/>
    <cacheHierarchy uniqueName="[Employe_Performance_dataset].[Joining Date]" caption="Joining Date" attribute="1" time="1" defaultMemberUniqueName="[Employe_Performance_dataset].[Joining Date].[All]" allUniqueName="[Employe_Performance_dataset].[Joining Date].[All]" dimensionUniqueName="[Employe_Performance_dataset]" displayFolder="" count="0" memberValueDatatype="7" unbalanced="0"/>
    <cacheHierarchy uniqueName="[Employe_Performance_dataset].[Performance Score]" caption="Performance Score" attribute="1" defaultMemberUniqueName="[Employe_Performance_dataset].[Performance Score].[All]" allUniqueName="[Employe_Performance_dataset].[Performance Score].[All]" dimensionUniqueName="[Employe_Performance_dataset]" displayFolder="" count="2" memberValueDatatype="20" unbalanced="0">
      <fieldsUsage count="2">
        <fieldUsage x="-1"/>
        <fieldUsage x="3"/>
      </fieldsUsage>
    </cacheHierarchy>
    <cacheHierarchy uniqueName="[Employe_Performance_dataset].[Experience]" caption="Experience" attribute="1" defaultMemberUniqueName="[Employe_Performance_dataset].[Experience].[All]" allUniqueName="[Employe_Performance_dataset].[Experience].[All]" dimensionUniqueName="[Employe_Performance_dataset]" displayFolder="" count="2" memberValueDatatype="20" unbalanced="0">
      <fieldsUsage count="2">
        <fieldUsage x="-1"/>
        <fieldUsage x="4"/>
      </fieldsUsage>
    </cacheHierarchy>
    <cacheHierarchy uniqueName="[Employe_Performance_dataset].[Location]" caption="Location" attribute="1" defaultMemberUniqueName="[Employe_Performance_dataset].[Location].[All]" allUniqueName="[Employe_Performance_dataset].[Location].[All]" dimensionUniqueName="[Employe_Performance_dataset]" displayFolder="" count="2" memberValueDatatype="130" unbalanced="0">
      <fieldsUsage count="2">
        <fieldUsage x="-1"/>
        <fieldUsage x="0"/>
      </fieldsUsage>
    </cacheHierarchy>
    <cacheHierarchy uniqueName="[Employe_Performance_dataset].[Session]" caption="Session" attribute="1" defaultMemberUniqueName="[Employe_Performance_dataset].[Session].[All]" allUniqueName="[Employe_Performance_dataset].[Session].[All]" dimensionUniqueName="[Employe_Performance_dataset]" displayFolder="" count="0" memberValueDatatype="130" unbalanced="0"/>
    <cacheHierarchy uniqueName="[Employe_Performance_dataset].[WorkDuration]" caption="WorkDuration" attribute="1" defaultMemberUniqueName="[Employe_Performance_dataset].[WorkDuration].[All]" allUniqueName="[Employe_Performance_dataset].[WorkDuration].[All]" dimensionUniqueName="[Employe_Performance_dataset]" displayFolder="" count="0" memberValueDatatype="20" unbalanced="0"/>
    <cacheHierarchy uniqueName="[Measures].[Sum of Age]" caption="Sum of Age" measure="1" displayFolder="" measureGroup="Employe_Performance_dataset" count="0">
      <extLst>
        <ext xmlns:x15="http://schemas.microsoft.com/office/spreadsheetml/2010/11/main" uri="{B97F6D7D-B522-45F9-BDA1-12C45D357490}">
          <x15:cacheHierarchy aggregatedColumn="2"/>
        </ext>
      </extLst>
    </cacheHierarchy>
    <cacheHierarchy uniqueName="[Measures].[Max of Age]" caption="Max of Age" measure="1" displayFolder="" measureGroup="Employe_Performance_dataset" count="0">
      <extLst>
        <ext xmlns:x15="http://schemas.microsoft.com/office/spreadsheetml/2010/11/main" uri="{B97F6D7D-B522-45F9-BDA1-12C45D357490}">
          <x15:cacheHierarchy aggregatedColumn="2"/>
        </ext>
      </extLst>
    </cacheHierarchy>
    <cacheHierarchy uniqueName="[Measures].[Count of Joining Date]" caption="Count of Joining Date" measure="1" displayFolder="" measureGroup="Employe_Performance_dataset" count="0">
      <extLst>
        <ext xmlns:x15="http://schemas.microsoft.com/office/spreadsheetml/2010/11/main" uri="{B97F6D7D-B522-45F9-BDA1-12C45D357490}">
          <x15:cacheHierarchy aggregatedColumn="6"/>
        </ext>
      </extLst>
    </cacheHierarchy>
    <cacheHierarchy uniqueName="[Measures].[Sum of WorkDuration]" caption="Sum of WorkDuration" measure="1" displayFolder="" measureGroup="Employe_Performance_dataset" count="0">
      <extLst>
        <ext xmlns:x15="http://schemas.microsoft.com/office/spreadsheetml/2010/11/main" uri="{B97F6D7D-B522-45F9-BDA1-12C45D357490}">
          <x15:cacheHierarchy aggregatedColumn="11"/>
        </ext>
      </extLst>
    </cacheHierarchy>
    <cacheHierarchy uniqueName="[Measures].[Max of WorkDuration]" caption="Max of WorkDuration" measure="1" displayFolder="" measureGroup="Employe_Performance_dataset" count="0">
      <extLst>
        <ext xmlns:x15="http://schemas.microsoft.com/office/spreadsheetml/2010/11/main" uri="{B97F6D7D-B522-45F9-BDA1-12C45D357490}">
          <x15:cacheHierarchy aggregatedColumn="11"/>
        </ext>
      </extLst>
    </cacheHierarchy>
    <cacheHierarchy uniqueName="[Measures].[Count of Name]" caption="Count of Name" measure="1" displayFolder="" measureGroup="Employe_Performance_dataset" count="0">
      <extLst>
        <ext xmlns:x15="http://schemas.microsoft.com/office/spreadsheetml/2010/11/main" uri="{B97F6D7D-B522-45F9-BDA1-12C45D357490}">
          <x15:cacheHierarchy aggregatedColumn="1"/>
        </ext>
      </extLst>
    </cacheHierarchy>
    <cacheHierarchy uniqueName="[Measures].[Sum of Salary]" caption="Sum of Salary" measure="1" displayFolder="" measureGroup="Employe_Performance_dataset" count="0">
      <extLst>
        <ext xmlns:x15="http://schemas.microsoft.com/office/spreadsheetml/2010/11/main" uri="{B97F6D7D-B522-45F9-BDA1-12C45D357490}">
          <x15:cacheHierarchy aggregatedColumn="5"/>
        </ext>
      </extLst>
    </cacheHierarchy>
    <cacheHierarchy uniqueName="[Measures].[Sum of Experience]" caption="Sum of Experience" measure="1" displayFolder="" measureGroup="Employe_Performance_dataset" count="0">
      <extLst>
        <ext xmlns:x15="http://schemas.microsoft.com/office/spreadsheetml/2010/11/main" uri="{B97F6D7D-B522-45F9-BDA1-12C45D357490}">
          <x15:cacheHierarchy aggregatedColumn="8"/>
        </ext>
      </extLst>
    </cacheHierarchy>
    <cacheHierarchy uniqueName="[Measures].[TotalSalary]" caption="TotalSalary" measure="1" displayFolder="" measureGroup="Employe_Performance_dataset" count="0" oneField="1">
      <fieldsUsage count="1">
        <fieldUsage x="1"/>
      </fieldsUsage>
    </cacheHierarchy>
    <cacheHierarchy uniqueName="[Measures].[# TotalEmployees]" caption="# TotalEmployees" measure="1" displayFolder="" measureGroup="Employe_Performance_dataset" count="0"/>
    <cacheHierarchy uniqueName="[Measures].[AvgSalary]" caption="AvgSalary" measure="1" displayFolder="" measureGroup="Employe_Performance_dataset" count="0"/>
    <cacheHierarchy uniqueName="[Measures].[Employee&gt;50]" caption="Employee&gt;50" measure="1" displayFolder="" measureGroup="Employe_Performance_dataset" count="0"/>
    <cacheHierarchy uniqueName="[Measures].[FeEmployee]" caption="FeEmployee" measure="1" displayFolder="" measureGroup="Employe_Performance_dataset" count="0"/>
    <cacheHierarchy uniqueName="[Measures].[__XL_Count Employe_Performance_dataset]" caption="__XL_Count Employe_Performance_dataset" measure="1" displayFolder="" measureGroup="Employe_Performance_dataset" count="0" hidden="1"/>
    <cacheHierarchy uniqueName="[Measures].[__No measures defined]" caption="__No measures defined" measure="1" displayFolder="" count="0" hidden="1"/>
  </cacheHierarchies>
  <kpis count="0"/>
  <dimensions count="2">
    <dimension name="Employe_Performance_dataset" uniqueName="[Employe_Performance_dataset]" caption="Employe_Performance_dataset"/>
    <dimension measure="1" name="Measures" uniqueName="[Measures]" caption="Measures"/>
  </dimensions>
  <measureGroups count="1">
    <measureGroup name="Employe_Performance_dataset" caption="Employe_Performance_dataset"/>
  </measureGroups>
  <maps count="1">
    <map measureGroup="0" dimension="0"/>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sama Muharram" refreshedDate="45658.969934606481" backgroundQuery="1" createdVersion="8" refreshedVersion="8" minRefreshableVersion="3" recordCount="0" supportSubquery="1" supportAdvancedDrill="1" xr:uid="{B82EF6E8-B9C8-4F8C-BD7E-49688BA891FB}">
  <cacheSource type="external" connectionId="2"/>
  <cacheFields count="3">
    <cacheField name="[Employe_Performance_dataset].[Session].[Session]" caption="Session" numFmtId="0" hierarchy="10" level="1">
      <sharedItems count="3">
        <s v="Evening"/>
        <s v="Morning"/>
        <s v="Night"/>
      </sharedItems>
    </cacheField>
    <cacheField name="[Measures].[Count of Name]" caption="Count of Name" numFmtId="0" hierarchy="17" level="32767"/>
    <cacheField name="[Employe_Performance_dataset].[Experience].[Experience]" caption="Experience" numFmtId="0" hierarchy="8" level="1">
      <sharedItems containsSemiMixedTypes="0" containsNonDate="0" containsString="0"/>
    </cacheField>
  </cacheFields>
  <cacheHierarchies count="27">
    <cacheHierarchy uniqueName="[Employe_Performance_dataset].[ID]" caption="ID" attribute="1" defaultMemberUniqueName="[Employe_Performance_dataset].[ID].[All]" allUniqueName="[Employe_Performance_dataset].[ID].[All]" dimensionUniqueName="[Employe_Performance_dataset]" displayFolder="" count="0" memberValueDatatype="20" unbalanced="0"/>
    <cacheHierarchy uniqueName="[Employe_Performance_dataset].[Name]" caption="Name" attribute="1" defaultMemberUniqueName="[Employe_Performance_dataset].[Name].[All]" allUniqueName="[Employe_Performance_dataset].[Name].[All]" dimensionUniqueName="[Employe_Performance_dataset]" displayFolder="" count="0" memberValueDatatype="130" unbalanced="0"/>
    <cacheHierarchy uniqueName="[Employe_Performance_dataset].[Age]" caption="Age" attribute="1" defaultMemberUniqueName="[Employe_Performance_dataset].[Age].[All]" allUniqueName="[Employe_Performance_dataset].[Age].[All]" dimensionUniqueName="[Employe_Performance_dataset]" displayFolder="" count="0" memberValueDatatype="20" unbalanced="0"/>
    <cacheHierarchy uniqueName="[Employe_Performance_dataset].[Gender]" caption="Gender" attribute="1" defaultMemberUniqueName="[Employe_Performance_dataset].[Gender].[All]" allUniqueName="[Employe_Performance_dataset].[Gender].[All]" dimensionUniqueName="[Employe_Performance_dataset]" displayFolder="" count="0" memberValueDatatype="130" unbalanced="0"/>
    <cacheHierarchy uniqueName="[Employe_Performance_dataset].[Department]" caption="Department" attribute="1" defaultMemberUniqueName="[Employe_Performance_dataset].[Department].[All]" allUniqueName="[Employe_Performance_dataset].[Department].[All]" dimensionUniqueName="[Employe_Performance_dataset]" displayFolder="" count="0" memberValueDatatype="130" unbalanced="0"/>
    <cacheHierarchy uniqueName="[Employe_Performance_dataset].[Salary]" caption="Salary" attribute="1" defaultMemberUniqueName="[Employe_Performance_dataset].[Salary].[All]" allUniqueName="[Employe_Performance_dataset].[Salary].[All]" dimensionUniqueName="[Employe_Performance_dataset]" displayFolder="" count="0" memberValueDatatype="20" unbalanced="0"/>
    <cacheHierarchy uniqueName="[Employe_Performance_dataset].[Joining Date]" caption="Joining Date" attribute="1" time="1" defaultMemberUniqueName="[Employe_Performance_dataset].[Joining Date].[All]" allUniqueName="[Employe_Performance_dataset].[Joining Date].[All]" dimensionUniqueName="[Employe_Performance_dataset]" displayFolder="" count="0" memberValueDatatype="7" unbalanced="0"/>
    <cacheHierarchy uniqueName="[Employe_Performance_dataset].[Performance Score]" caption="Performance Score" attribute="1" defaultMemberUniqueName="[Employe_Performance_dataset].[Performance Score].[All]" allUniqueName="[Employe_Performance_dataset].[Performance Score].[All]" dimensionUniqueName="[Employe_Performance_dataset]" displayFolder="" count="0" memberValueDatatype="20" unbalanced="0"/>
    <cacheHierarchy uniqueName="[Employe_Performance_dataset].[Experience]" caption="Experience" attribute="1" defaultMemberUniqueName="[Employe_Performance_dataset].[Experience].[All]" allUniqueName="[Employe_Performance_dataset].[Experience].[All]" dimensionUniqueName="[Employe_Performance_dataset]" displayFolder="" count="2" memberValueDatatype="20" unbalanced="0">
      <fieldsUsage count="2">
        <fieldUsage x="-1"/>
        <fieldUsage x="2"/>
      </fieldsUsage>
    </cacheHierarchy>
    <cacheHierarchy uniqueName="[Employe_Performance_dataset].[Location]" caption="Location" attribute="1" defaultMemberUniqueName="[Employe_Performance_dataset].[Location].[All]" allUniqueName="[Employe_Performance_dataset].[Location].[All]" dimensionUniqueName="[Employe_Performance_dataset]" displayFolder="" count="0" memberValueDatatype="130" unbalanced="0"/>
    <cacheHierarchy uniqueName="[Employe_Performance_dataset].[Session]" caption="Session" attribute="1" defaultMemberUniqueName="[Employe_Performance_dataset].[Session].[All]" allUniqueName="[Employe_Performance_dataset].[Session].[All]" dimensionUniqueName="[Employe_Performance_dataset]" displayFolder="" count="2" memberValueDatatype="130" unbalanced="0">
      <fieldsUsage count="2">
        <fieldUsage x="-1"/>
        <fieldUsage x="0"/>
      </fieldsUsage>
    </cacheHierarchy>
    <cacheHierarchy uniqueName="[Employe_Performance_dataset].[WorkDuration]" caption="WorkDuration" attribute="1" defaultMemberUniqueName="[Employe_Performance_dataset].[WorkDuration].[All]" allUniqueName="[Employe_Performance_dataset].[WorkDuration].[All]" dimensionUniqueName="[Employe_Performance_dataset]" displayFolder="" count="0" memberValueDatatype="20" unbalanced="0"/>
    <cacheHierarchy uniqueName="[Measures].[Sum of Age]" caption="Sum of Age" measure="1" displayFolder="" measureGroup="Employe_Performance_dataset" count="0">
      <extLst>
        <ext xmlns:x15="http://schemas.microsoft.com/office/spreadsheetml/2010/11/main" uri="{B97F6D7D-B522-45F9-BDA1-12C45D357490}">
          <x15:cacheHierarchy aggregatedColumn="2"/>
        </ext>
      </extLst>
    </cacheHierarchy>
    <cacheHierarchy uniqueName="[Measures].[Max of Age]" caption="Max of Age" measure="1" displayFolder="" measureGroup="Employe_Performance_dataset" count="0">
      <extLst>
        <ext xmlns:x15="http://schemas.microsoft.com/office/spreadsheetml/2010/11/main" uri="{B97F6D7D-B522-45F9-BDA1-12C45D357490}">
          <x15:cacheHierarchy aggregatedColumn="2"/>
        </ext>
      </extLst>
    </cacheHierarchy>
    <cacheHierarchy uniqueName="[Measures].[Count of Joining Date]" caption="Count of Joining Date" measure="1" displayFolder="" measureGroup="Employe_Performance_dataset" count="0">
      <extLst>
        <ext xmlns:x15="http://schemas.microsoft.com/office/spreadsheetml/2010/11/main" uri="{B97F6D7D-B522-45F9-BDA1-12C45D357490}">
          <x15:cacheHierarchy aggregatedColumn="6"/>
        </ext>
      </extLst>
    </cacheHierarchy>
    <cacheHierarchy uniqueName="[Measures].[Sum of WorkDuration]" caption="Sum of WorkDuration" measure="1" displayFolder="" measureGroup="Employe_Performance_dataset" count="0">
      <extLst>
        <ext xmlns:x15="http://schemas.microsoft.com/office/spreadsheetml/2010/11/main" uri="{B97F6D7D-B522-45F9-BDA1-12C45D357490}">
          <x15:cacheHierarchy aggregatedColumn="11"/>
        </ext>
      </extLst>
    </cacheHierarchy>
    <cacheHierarchy uniqueName="[Measures].[Max of WorkDuration]" caption="Max of WorkDuration" measure="1" displayFolder="" measureGroup="Employe_Performance_dataset" count="0">
      <extLst>
        <ext xmlns:x15="http://schemas.microsoft.com/office/spreadsheetml/2010/11/main" uri="{B97F6D7D-B522-45F9-BDA1-12C45D357490}">
          <x15:cacheHierarchy aggregatedColumn="11"/>
        </ext>
      </extLst>
    </cacheHierarchy>
    <cacheHierarchy uniqueName="[Measures].[Count of Name]" caption="Count of Name" measure="1" displayFolder="" measureGroup="Employe_Performance_dataset" count="0" oneField="1">
      <fieldsUsage count="1">
        <fieldUsage x="1"/>
      </fieldsUsage>
      <extLst>
        <ext xmlns:x15="http://schemas.microsoft.com/office/spreadsheetml/2010/11/main" uri="{B97F6D7D-B522-45F9-BDA1-12C45D357490}">
          <x15:cacheHierarchy aggregatedColumn="1"/>
        </ext>
      </extLst>
    </cacheHierarchy>
    <cacheHierarchy uniqueName="[Measures].[Sum of Salary]" caption="Sum of Salary" measure="1" displayFolder="" measureGroup="Employe_Performance_dataset" count="0">
      <extLst>
        <ext xmlns:x15="http://schemas.microsoft.com/office/spreadsheetml/2010/11/main" uri="{B97F6D7D-B522-45F9-BDA1-12C45D357490}">
          <x15:cacheHierarchy aggregatedColumn="5"/>
        </ext>
      </extLst>
    </cacheHierarchy>
    <cacheHierarchy uniqueName="[Measures].[Sum of Experience]" caption="Sum of Experience" measure="1" displayFolder="" measureGroup="Employe_Performance_dataset" count="0">
      <extLst>
        <ext xmlns:x15="http://schemas.microsoft.com/office/spreadsheetml/2010/11/main" uri="{B97F6D7D-B522-45F9-BDA1-12C45D357490}">
          <x15:cacheHierarchy aggregatedColumn="8"/>
        </ext>
      </extLst>
    </cacheHierarchy>
    <cacheHierarchy uniqueName="[Measures].[TotalSalary]" caption="TotalSalary" measure="1" displayFolder="" measureGroup="Employe_Performance_dataset" count="0"/>
    <cacheHierarchy uniqueName="[Measures].[# TotalEmployees]" caption="# TotalEmployees" measure="1" displayFolder="" measureGroup="Employe_Performance_dataset" count="0"/>
    <cacheHierarchy uniqueName="[Measures].[AvgSalary]" caption="AvgSalary" measure="1" displayFolder="" measureGroup="Employe_Performance_dataset" count="0"/>
    <cacheHierarchy uniqueName="[Measures].[Employee&gt;50]" caption="Employee&gt;50" measure="1" displayFolder="" measureGroup="Employe_Performance_dataset" count="0"/>
    <cacheHierarchy uniqueName="[Measures].[FeEmployee]" caption="FeEmployee" measure="1" displayFolder="" measureGroup="Employe_Performance_dataset" count="0"/>
    <cacheHierarchy uniqueName="[Measures].[__XL_Count Employe_Performance_dataset]" caption="__XL_Count Employe_Performance_dataset" measure="1" displayFolder="" measureGroup="Employe_Performance_dataset" count="0" hidden="1"/>
    <cacheHierarchy uniqueName="[Measures].[__No measures defined]" caption="__No measures defined" measure="1" displayFolder="" count="0" hidden="1"/>
  </cacheHierarchies>
  <kpis count="0"/>
  <dimensions count="2">
    <dimension name="Employe_Performance_dataset" uniqueName="[Employe_Performance_dataset]" caption="Employe_Performance_dataset"/>
    <dimension measure="1" name="Measures" uniqueName="[Measures]" caption="Measures"/>
  </dimensions>
  <measureGroups count="1">
    <measureGroup name="Employe_Performance_dataset" caption="Employe_Performance_dataset"/>
  </measureGroups>
  <maps count="1">
    <map measureGroup="0" dimension="0"/>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sama Muharram" refreshedDate="45658.969936574074" backgroundQuery="1" createdVersion="8" refreshedVersion="8" minRefreshableVersion="3" recordCount="0" supportSubquery="1" supportAdvancedDrill="1" xr:uid="{5D6D9944-DA0D-4B96-93D7-AA1DB370B329}">
  <cacheSource type="external" connectionId="2"/>
  <cacheFields count="3">
    <cacheField name="[Employe_Performance_dataset].[Location].[Location]" caption="Location" numFmtId="0" hierarchy="9" level="1">
      <sharedItems count="3">
        <s v="Chicago"/>
        <s v="Los Angeles"/>
        <s v="New York"/>
      </sharedItems>
    </cacheField>
    <cacheField name="[Measures].[Count of Name]" caption="Count of Name" numFmtId="0" hierarchy="17" level="32767"/>
    <cacheField name="[Measures].[TotalSalary]" caption="TotalSalary" numFmtId="0" hierarchy="20" level="32767"/>
  </cacheFields>
  <cacheHierarchies count="27">
    <cacheHierarchy uniqueName="[Employe_Performance_dataset].[ID]" caption="ID" attribute="1" defaultMemberUniqueName="[Employe_Performance_dataset].[ID].[All]" allUniqueName="[Employe_Performance_dataset].[ID].[All]" dimensionUniqueName="[Employe_Performance_dataset]" displayFolder="" count="0" memberValueDatatype="20" unbalanced="0"/>
    <cacheHierarchy uniqueName="[Employe_Performance_dataset].[Name]" caption="Name" attribute="1" defaultMemberUniqueName="[Employe_Performance_dataset].[Name].[All]" allUniqueName="[Employe_Performance_dataset].[Name].[All]" dimensionUniqueName="[Employe_Performance_dataset]" displayFolder="" count="0" memberValueDatatype="130" unbalanced="0"/>
    <cacheHierarchy uniqueName="[Employe_Performance_dataset].[Age]" caption="Age" attribute="1" defaultMemberUniqueName="[Employe_Performance_dataset].[Age].[All]" allUniqueName="[Employe_Performance_dataset].[Age].[All]" dimensionUniqueName="[Employe_Performance_dataset]" displayFolder="" count="0" memberValueDatatype="20" unbalanced="0"/>
    <cacheHierarchy uniqueName="[Employe_Performance_dataset].[Gender]" caption="Gender" attribute="1" defaultMemberUniqueName="[Employe_Performance_dataset].[Gender].[All]" allUniqueName="[Employe_Performance_dataset].[Gender].[All]" dimensionUniqueName="[Employe_Performance_dataset]" displayFolder="" count="0" memberValueDatatype="130" unbalanced="0"/>
    <cacheHierarchy uniqueName="[Employe_Performance_dataset].[Department]" caption="Department" attribute="1" defaultMemberUniqueName="[Employe_Performance_dataset].[Department].[All]" allUniqueName="[Employe_Performance_dataset].[Department].[All]" dimensionUniqueName="[Employe_Performance_dataset]" displayFolder="" count="0" memberValueDatatype="130" unbalanced="0"/>
    <cacheHierarchy uniqueName="[Employe_Performance_dataset].[Salary]" caption="Salary" attribute="1" defaultMemberUniqueName="[Employe_Performance_dataset].[Salary].[All]" allUniqueName="[Employe_Performance_dataset].[Salary].[All]" dimensionUniqueName="[Employe_Performance_dataset]" displayFolder="" count="0" memberValueDatatype="20" unbalanced="0"/>
    <cacheHierarchy uniqueName="[Employe_Performance_dataset].[Joining Date]" caption="Joining Date" attribute="1" time="1" defaultMemberUniqueName="[Employe_Performance_dataset].[Joining Date].[All]" allUniqueName="[Employe_Performance_dataset].[Joining Date].[All]" dimensionUniqueName="[Employe_Performance_dataset]" displayFolder="" count="0" memberValueDatatype="7" unbalanced="0"/>
    <cacheHierarchy uniqueName="[Employe_Performance_dataset].[Performance Score]" caption="Performance Score" attribute="1" defaultMemberUniqueName="[Employe_Performance_dataset].[Performance Score].[All]" allUniqueName="[Employe_Performance_dataset].[Performance Score].[All]" dimensionUniqueName="[Employe_Performance_dataset]" displayFolder="" count="0" memberValueDatatype="20" unbalanced="0"/>
    <cacheHierarchy uniqueName="[Employe_Performance_dataset].[Experience]" caption="Experience" attribute="1" defaultMemberUniqueName="[Employe_Performance_dataset].[Experience].[All]" allUniqueName="[Employe_Performance_dataset].[Experience].[All]" dimensionUniqueName="[Employe_Performance_dataset]" displayFolder="" count="0" memberValueDatatype="20" unbalanced="0"/>
    <cacheHierarchy uniqueName="[Employe_Performance_dataset].[Location]" caption="Location" attribute="1" defaultMemberUniqueName="[Employe_Performance_dataset].[Location].[All]" allUniqueName="[Employe_Performance_dataset].[Location].[All]" dimensionUniqueName="[Employe_Performance_dataset]" displayFolder="" count="2" memberValueDatatype="130" unbalanced="0">
      <fieldsUsage count="2">
        <fieldUsage x="-1"/>
        <fieldUsage x="0"/>
      </fieldsUsage>
    </cacheHierarchy>
    <cacheHierarchy uniqueName="[Employe_Performance_dataset].[Session]" caption="Session" attribute="1" defaultMemberUniqueName="[Employe_Performance_dataset].[Session].[All]" allUniqueName="[Employe_Performance_dataset].[Session].[All]" dimensionUniqueName="[Employe_Performance_dataset]" displayFolder="" count="0" memberValueDatatype="130" unbalanced="0"/>
    <cacheHierarchy uniqueName="[Employe_Performance_dataset].[WorkDuration]" caption="WorkDuration" attribute="1" defaultMemberUniqueName="[Employe_Performance_dataset].[WorkDuration].[All]" allUniqueName="[Employe_Performance_dataset].[WorkDuration].[All]" dimensionUniqueName="[Employe_Performance_dataset]" displayFolder="" count="0" memberValueDatatype="20" unbalanced="0"/>
    <cacheHierarchy uniqueName="[Measures].[Sum of Age]" caption="Sum of Age" measure="1" displayFolder="" measureGroup="Employe_Performance_dataset" count="0">
      <extLst>
        <ext xmlns:x15="http://schemas.microsoft.com/office/spreadsheetml/2010/11/main" uri="{B97F6D7D-B522-45F9-BDA1-12C45D357490}">
          <x15:cacheHierarchy aggregatedColumn="2"/>
        </ext>
      </extLst>
    </cacheHierarchy>
    <cacheHierarchy uniqueName="[Measures].[Max of Age]" caption="Max of Age" measure="1" displayFolder="" measureGroup="Employe_Performance_dataset" count="0">
      <extLst>
        <ext xmlns:x15="http://schemas.microsoft.com/office/spreadsheetml/2010/11/main" uri="{B97F6D7D-B522-45F9-BDA1-12C45D357490}">
          <x15:cacheHierarchy aggregatedColumn="2"/>
        </ext>
      </extLst>
    </cacheHierarchy>
    <cacheHierarchy uniqueName="[Measures].[Count of Joining Date]" caption="Count of Joining Date" measure="1" displayFolder="" measureGroup="Employe_Performance_dataset" count="0">
      <extLst>
        <ext xmlns:x15="http://schemas.microsoft.com/office/spreadsheetml/2010/11/main" uri="{B97F6D7D-B522-45F9-BDA1-12C45D357490}">
          <x15:cacheHierarchy aggregatedColumn="6"/>
        </ext>
      </extLst>
    </cacheHierarchy>
    <cacheHierarchy uniqueName="[Measures].[Sum of WorkDuration]" caption="Sum of WorkDuration" measure="1" displayFolder="" measureGroup="Employe_Performance_dataset" count="0">
      <extLst>
        <ext xmlns:x15="http://schemas.microsoft.com/office/spreadsheetml/2010/11/main" uri="{B97F6D7D-B522-45F9-BDA1-12C45D357490}">
          <x15:cacheHierarchy aggregatedColumn="11"/>
        </ext>
      </extLst>
    </cacheHierarchy>
    <cacheHierarchy uniqueName="[Measures].[Max of WorkDuration]" caption="Max of WorkDuration" measure="1" displayFolder="" measureGroup="Employe_Performance_dataset" count="0">
      <extLst>
        <ext xmlns:x15="http://schemas.microsoft.com/office/spreadsheetml/2010/11/main" uri="{B97F6D7D-B522-45F9-BDA1-12C45D357490}">
          <x15:cacheHierarchy aggregatedColumn="11"/>
        </ext>
      </extLst>
    </cacheHierarchy>
    <cacheHierarchy uniqueName="[Measures].[Count of Name]" caption="Count of Name" measure="1" displayFolder="" measureGroup="Employe_Performance_dataset" count="0" oneField="1">
      <fieldsUsage count="1">
        <fieldUsage x="1"/>
      </fieldsUsage>
      <extLst>
        <ext xmlns:x15="http://schemas.microsoft.com/office/spreadsheetml/2010/11/main" uri="{B97F6D7D-B522-45F9-BDA1-12C45D357490}">
          <x15:cacheHierarchy aggregatedColumn="1"/>
        </ext>
      </extLst>
    </cacheHierarchy>
    <cacheHierarchy uniqueName="[Measures].[Sum of Salary]" caption="Sum of Salary" measure="1" displayFolder="" measureGroup="Employe_Performance_dataset" count="0">
      <extLst>
        <ext xmlns:x15="http://schemas.microsoft.com/office/spreadsheetml/2010/11/main" uri="{B97F6D7D-B522-45F9-BDA1-12C45D357490}">
          <x15:cacheHierarchy aggregatedColumn="5"/>
        </ext>
      </extLst>
    </cacheHierarchy>
    <cacheHierarchy uniqueName="[Measures].[Sum of Experience]" caption="Sum of Experience" measure="1" displayFolder="" measureGroup="Employe_Performance_dataset" count="0">
      <extLst>
        <ext xmlns:x15="http://schemas.microsoft.com/office/spreadsheetml/2010/11/main" uri="{B97F6D7D-B522-45F9-BDA1-12C45D357490}">
          <x15:cacheHierarchy aggregatedColumn="8"/>
        </ext>
      </extLst>
    </cacheHierarchy>
    <cacheHierarchy uniqueName="[Measures].[TotalSalary]" caption="TotalSalary" measure="1" displayFolder="" measureGroup="Employe_Performance_dataset" count="0" oneField="1">
      <fieldsUsage count="1">
        <fieldUsage x="2"/>
      </fieldsUsage>
    </cacheHierarchy>
    <cacheHierarchy uniqueName="[Measures].[# TotalEmployees]" caption="# TotalEmployees" measure="1" displayFolder="" measureGroup="Employe_Performance_dataset" count="0"/>
    <cacheHierarchy uniqueName="[Measures].[AvgSalary]" caption="AvgSalary" measure="1" displayFolder="" measureGroup="Employe_Performance_dataset" count="0"/>
    <cacheHierarchy uniqueName="[Measures].[Employee&gt;50]" caption="Employee&gt;50" measure="1" displayFolder="" measureGroup="Employe_Performance_dataset" count="0"/>
    <cacheHierarchy uniqueName="[Measures].[FeEmployee]" caption="FeEmployee" measure="1" displayFolder="" measureGroup="Employe_Performance_dataset" count="0"/>
    <cacheHierarchy uniqueName="[Measures].[__XL_Count Employe_Performance_dataset]" caption="__XL_Count Employe_Performance_dataset" measure="1" displayFolder="" measureGroup="Employe_Performance_dataset" count="0" hidden="1"/>
    <cacheHierarchy uniqueName="[Measures].[__No measures defined]" caption="__No measures defined" measure="1" displayFolder="" count="0" hidden="1"/>
  </cacheHierarchies>
  <kpis count="0"/>
  <dimensions count="2">
    <dimension name="Employe_Performance_dataset" uniqueName="[Employe_Performance_dataset]" caption="Employe_Performance_dataset"/>
    <dimension measure="1" name="Measures" uniqueName="[Measures]" caption="Measures"/>
  </dimensions>
  <measureGroups count="1">
    <measureGroup name="Employe_Performance_dataset" caption="Employe_Performance_dataset"/>
  </measureGroups>
  <maps count="1">
    <map measureGroup="0" dimension="0"/>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sama Muharram" refreshedDate="45658.969938425929" backgroundQuery="1" createdVersion="8" refreshedVersion="8" minRefreshableVersion="3" recordCount="0" supportSubquery="1" supportAdvancedDrill="1" xr:uid="{9F39C9D4-AF53-4E07-A6F3-5DD225A04BB7}">
  <cacheSource type="external" connectionId="2"/>
  <cacheFields count="3">
    <cacheField name="[Employe_Performance_dataset].[Department].[Department]" caption="Department" numFmtId="0" hierarchy="4" level="1">
      <sharedItems count="3">
        <s v="HR"/>
        <s v="IT"/>
        <s v="Sales"/>
      </sharedItems>
    </cacheField>
    <cacheField name="[Measures].[Count of Name]" caption="Count of Name" numFmtId="0" hierarchy="17" level="32767"/>
    <cacheField name="[Measures].[TotalSalary]" caption="TotalSalary" numFmtId="0" hierarchy="20" level="32767"/>
  </cacheFields>
  <cacheHierarchies count="27">
    <cacheHierarchy uniqueName="[Employe_Performance_dataset].[ID]" caption="ID" attribute="1" defaultMemberUniqueName="[Employe_Performance_dataset].[ID].[All]" allUniqueName="[Employe_Performance_dataset].[ID].[All]" dimensionUniqueName="[Employe_Performance_dataset]" displayFolder="" count="0" memberValueDatatype="20" unbalanced="0"/>
    <cacheHierarchy uniqueName="[Employe_Performance_dataset].[Name]" caption="Name" attribute="1" defaultMemberUniqueName="[Employe_Performance_dataset].[Name].[All]" allUniqueName="[Employe_Performance_dataset].[Name].[All]" dimensionUniqueName="[Employe_Performance_dataset]" displayFolder="" count="0" memberValueDatatype="130" unbalanced="0"/>
    <cacheHierarchy uniqueName="[Employe_Performance_dataset].[Age]" caption="Age" attribute="1" defaultMemberUniqueName="[Employe_Performance_dataset].[Age].[All]" allUniqueName="[Employe_Performance_dataset].[Age].[All]" dimensionUniqueName="[Employe_Performance_dataset]" displayFolder="" count="0" memberValueDatatype="20" unbalanced="0"/>
    <cacheHierarchy uniqueName="[Employe_Performance_dataset].[Gender]" caption="Gender" attribute="1" defaultMemberUniqueName="[Employe_Performance_dataset].[Gender].[All]" allUniqueName="[Employe_Performance_dataset].[Gender].[All]" dimensionUniqueName="[Employe_Performance_dataset]" displayFolder="" count="0" memberValueDatatype="130" unbalanced="0"/>
    <cacheHierarchy uniqueName="[Employe_Performance_dataset].[Department]" caption="Department" attribute="1" defaultMemberUniqueName="[Employe_Performance_dataset].[Department].[All]" allUniqueName="[Employe_Performance_dataset].[Department].[All]" dimensionUniqueName="[Employe_Performance_dataset]" displayFolder="" count="2" memberValueDatatype="130" unbalanced="0">
      <fieldsUsage count="2">
        <fieldUsage x="-1"/>
        <fieldUsage x="0"/>
      </fieldsUsage>
    </cacheHierarchy>
    <cacheHierarchy uniqueName="[Employe_Performance_dataset].[Salary]" caption="Salary" attribute="1" defaultMemberUniqueName="[Employe_Performance_dataset].[Salary].[All]" allUniqueName="[Employe_Performance_dataset].[Salary].[All]" dimensionUniqueName="[Employe_Performance_dataset]" displayFolder="" count="0" memberValueDatatype="20" unbalanced="0"/>
    <cacheHierarchy uniqueName="[Employe_Performance_dataset].[Joining Date]" caption="Joining Date" attribute="1" time="1" defaultMemberUniqueName="[Employe_Performance_dataset].[Joining Date].[All]" allUniqueName="[Employe_Performance_dataset].[Joining Date].[All]" dimensionUniqueName="[Employe_Performance_dataset]" displayFolder="" count="0" memberValueDatatype="7" unbalanced="0"/>
    <cacheHierarchy uniqueName="[Employe_Performance_dataset].[Performance Score]" caption="Performance Score" attribute="1" defaultMemberUniqueName="[Employe_Performance_dataset].[Performance Score].[All]" allUniqueName="[Employe_Performance_dataset].[Performance Score].[All]" dimensionUniqueName="[Employe_Performance_dataset]" displayFolder="" count="0" memberValueDatatype="20" unbalanced="0"/>
    <cacheHierarchy uniqueName="[Employe_Performance_dataset].[Experience]" caption="Experience" attribute="1" defaultMemberUniqueName="[Employe_Performance_dataset].[Experience].[All]" allUniqueName="[Employe_Performance_dataset].[Experience].[All]" dimensionUniqueName="[Employe_Performance_dataset]" displayFolder="" count="0" memberValueDatatype="20" unbalanced="0"/>
    <cacheHierarchy uniqueName="[Employe_Performance_dataset].[Location]" caption="Location" attribute="1" defaultMemberUniqueName="[Employe_Performance_dataset].[Location].[All]" allUniqueName="[Employe_Performance_dataset].[Location].[All]" dimensionUniqueName="[Employe_Performance_dataset]" displayFolder="" count="0" memberValueDatatype="130" unbalanced="0"/>
    <cacheHierarchy uniqueName="[Employe_Performance_dataset].[Session]" caption="Session" attribute="1" defaultMemberUniqueName="[Employe_Performance_dataset].[Session].[All]" allUniqueName="[Employe_Performance_dataset].[Session].[All]" dimensionUniqueName="[Employe_Performance_dataset]" displayFolder="" count="0" memberValueDatatype="130" unbalanced="0"/>
    <cacheHierarchy uniqueName="[Employe_Performance_dataset].[WorkDuration]" caption="WorkDuration" attribute="1" defaultMemberUniqueName="[Employe_Performance_dataset].[WorkDuration].[All]" allUniqueName="[Employe_Performance_dataset].[WorkDuration].[All]" dimensionUniqueName="[Employe_Performance_dataset]" displayFolder="" count="0" memberValueDatatype="20" unbalanced="0"/>
    <cacheHierarchy uniqueName="[Measures].[Sum of Age]" caption="Sum of Age" measure="1" displayFolder="" measureGroup="Employe_Performance_dataset" count="0">
      <extLst>
        <ext xmlns:x15="http://schemas.microsoft.com/office/spreadsheetml/2010/11/main" uri="{B97F6D7D-B522-45F9-BDA1-12C45D357490}">
          <x15:cacheHierarchy aggregatedColumn="2"/>
        </ext>
      </extLst>
    </cacheHierarchy>
    <cacheHierarchy uniqueName="[Measures].[Max of Age]" caption="Max of Age" measure="1" displayFolder="" measureGroup="Employe_Performance_dataset" count="0">
      <extLst>
        <ext xmlns:x15="http://schemas.microsoft.com/office/spreadsheetml/2010/11/main" uri="{B97F6D7D-B522-45F9-BDA1-12C45D357490}">
          <x15:cacheHierarchy aggregatedColumn="2"/>
        </ext>
      </extLst>
    </cacheHierarchy>
    <cacheHierarchy uniqueName="[Measures].[Count of Joining Date]" caption="Count of Joining Date" measure="1" displayFolder="" measureGroup="Employe_Performance_dataset" count="0">
      <extLst>
        <ext xmlns:x15="http://schemas.microsoft.com/office/spreadsheetml/2010/11/main" uri="{B97F6D7D-B522-45F9-BDA1-12C45D357490}">
          <x15:cacheHierarchy aggregatedColumn="6"/>
        </ext>
      </extLst>
    </cacheHierarchy>
    <cacheHierarchy uniqueName="[Measures].[Sum of WorkDuration]" caption="Sum of WorkDuration" measure="1" displayFolder="" measureGroup="Employe_Performance_dataset" count="0">
      <extLst>
        <ext xmlns:x15="http://schemas.microsoft.com/office/spreadsheetml/2010/11/main" uri="{B97F6D7D-B522-45F9-BDA1-12C45D357490}">
          <x15:cacheHierarchy aggregatedColumn="11"/>
        </ext>
      </extLst>
    </cacheHierarchy>
    <cacheHierarchy uniqueName="[Measures].[Max of WorkDuration]" caption="Max of WorkDuration" measure="1" displayFolder="" measureGroup="Employe_Performance_dataset" count="0">
      <extLst>
        <ext xmlns:x15="http://schemas.microsoft.com/office/spreadsheetml/2010/11/main" uri="{B97F6D7D-B522-45F9-BDA1-12C45D357490}">
          <x15:cacheHierarchy aggregatedColumn="11"/>
        </ext>
      </extLst>
    </cacheHierarchy>
    <cacheHierarchy uniqueName="[Measures].[Count of Name]" caption="Count of Name" measure="1" displayFolder="" measureGroup="Employe_Performance_dataset" count="0" oneField="1">
      <fieldsUsage count="1">
        <fieldUsage x="1"/>
      </fieldsUsage>
      <extLst>
        <ext xmlns:x15="http://schemas.microsoft.com/office/spreadsheetml/2010/11/main" uri="{B97F6D7D-B522-45F9-BDA1-12C45D357490}">
          <x15:cacheHierarchy aggregatedColumn="1"/>
        </ext>
      </extLst>
    </cacheHierarchy>
    <cacheHierarchy uniqueName="[Measures].[Sum of Salary]" caption="Sum of Salary" measure="1" displayFolder="" measureGroup="Employe_Performance_dataset" count="0">
      <extLst>
        <ext xmlns:x15="http://schemas.microsoft.com/office/spreadsheetml/2010/11/main" uri="{B97F6D7D-B522-45F9-BDA1-12C45D357490}">
          <x15:cacheHierarchy aggregatedColumn="5"/>
        </ext>
      </extLst>
    </cacheHierarchy>
    <cacheHierarchy uniqueName="[Measures].[Sum of Experience]" caption="Sum of Experience" measure="1" displayFolder="" measureGroup="Employe_Performance_dataset" count="0">
      <extLst>
        <ext xmlns:x15="http://schemas.microsoft.com/office/spreadsheetml/2010/11/main" uri="{B97F6D7D-B522-45F9-BDA1-12C45D357490}">
          <x15:cacheHierarchy aggregatedColumn="8"/>
        </ext>
      </extLst>
    </cacheHierarchy>
    <cacheHierarchy uniqueName="[Measures].[TotalSalary]" caption="TotalSalary" measure="1" displayFolder="" measureGroup="Employe_Performance_dataset" count="0" oneField="1">
      <fieldsUsage count="1">
        <fieldUsage x="2"/>
      </fieldsUsage>
    </cacheHierarchy>
    <cacheHierarchy uniqueName="[Measures].[# TotalEmployees]" caption="# TotalEmployees" measure="1" displayFolder="" measureGroup="Employe_Performance_dataset" count="0"/>
    <cacheHierarchy uniqueName="[Measures].[AvgSalary]" caption="AvgSalary" measure="1" displayFolder="" measureGroup="Employe_Performance_dataset" count="0"/>
    <cacheHierarchy uniqueName="[Measures].[Employee&gt;50]" caption="Employee&gt;50" measure="1" displayFolder="" measureGroup="Employe_Performance_dataset" count="0"/>
    <cacheHierarchy uniqueName="[Measures].[FeEmployee]" caption="FeEmployee" measure="1" displayFolder="" measureGroup="Employe_Performance_dataset" count="0"/>
    <cacheHierarchy uniqueName="[Measures].[__XL_Count Employe_Performance_dataset]" caption="__XL_Count Employe_Performance_dataset" measure="1" displayFolder="" measureGroup="Employe_Performance_dataset" count="0" hidden="1"/>
    <cacheHierarchy uniqueName="[Measures].[__No measures defined]" caption="__No measures defined" measure="1" displayFolder="" count="0" hidden="1"/>
  </cacheHierarchies>
  <kpis count="0"/>
  <dimensions count="2">
    <dimension name="Employe_Performance_dataset" uniqueName="[Employe_Performance_dataset]" caption="Employe_Performance_dataset"/>
    <dimension measure="1" name="Measures" uniqueName="[Measures]" caption="Measures"/>
  </dimensions>
  <measureGroups count="1">
    <measureGroup name="Employe_Performance_dataset" caption="Employe_Performance_dataset"/>
  </measureGroups>
  <maps count="1">
    <map measureGroup="0" dimension="0"/>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sama Muharram" refreshedDate="45658.969940162038" backgroundQuery="1" createdVersion="8" refreshedVersion="8" minRefreshableVersion="3" recordCount="0" supportSubquery="1" supportAdvancedDrill="1" xr:uid="{0F54D4D7-9A40-4B3F-AB73-54ACB0C1A238}">
  <cacheSource type="external" connectionId="2"/>
  <cacheFields count="1">
    <cacheField name="[Measures].[FeEmployee]" caption="FeEmployee" numFmtId="0" hierarchy="24" level="32767"/>
  </cacheFields>
  <cacheHierarchies count="27">
    <cacheHierarchy uniqueName="[Employe_Performance_dataset].[ID]" caption="ID" attribute="1" defaultMemberUniqueName="[Employe_Performance_dataset].[ID].[All]" allUniqueName="[Employe_Performance_dataset].[ID].[All]" dimensionUniqueName="[Employe_Performance_dataset]" displayFolder="" count="0" memberValueDatatype="20" unbalanced="0"/>
    <cacheHierarchy uniqueName="[Employe_Performance_dataset].[Name]" caption="Name" attribute="1" defaultMemberUniqueName="[Employe_Performance_dataset].[Name].[All]" allUniqueName="[Employe_Performance_dataset].[Name].[All]" dimensionUniqueName="[Employe_Performance_dataset]" displayFolder="" count="0" memberValueDatatype="130" unbalanced="0"/>
    <cacheHierarchy uniqueName="[Employe_Performance_dataset].[Age]" caption="Age" attribute="1" defaultMemberUniqueName="[Employe_Performance_dataset].[Age].[All]" allUniqueName="[Employe_Performance_dataset].[Age].[All]" dimensionUniqueName="[Employe_Performance_dataset]" displayFolder="" count="0" memberValueDatatype="20" unbalanced="0"/>
    <cacheHierarchy uniqueName="[Employe_Performance_dataset].[Gender]" caption="Gender" attribute="1" defaultMemberUniqueName="[Employe_Performance_dataset].[Gender].[All]" allUniqueName="[Employe_Performance_dataset].[Gender].[All]" dimensionUniqueName="[Employe_Performance_dataset]" displayFolder="" count="0" memberValueDatatype="130" unbalanced="0"/>
    <cacheHierarchy uniqueName="[Employe_Performance_dataset].[Department]" caption="Department" attribute="1" defaultMemberUniqueName="[Employe_Performance_dataset].[Department].[All]" allUniqueName="[Employe_Performance_dataset].[Department].[All]" dimensionUniqueName="[Employe_Performance_dataset]" displayFolder="" count="0" memberValueDatatype="130" unbalanced="0"/>
    <cacheHierarchy uniqueName="[Employe_Performance_dataset].[Salary]" caption="Salary" attribute="1" defaultMemberUniqueName="[Employe_Performance_dataset].[Salary].[All]" allUniqueName="[Employe_Performance_dataset].[Salary].[All]" dimensionUniqueName="[Employe_Performance_dataset]" displayFolder="" count="0" memberValueDatatype="20" unbalanced="0"/>
    <cacheHierarchy uniqueName="[Employe_Performance_dataset].[Joining Date]" caption="Joining Date" attribute="1" time="1" defaultMemberUniqueName="[Employe_Performance_dataset].[Joining Date].[All]" allUniqueName="[Employe_Performance_dataset].[Joining Date].[All]" dimensionUniqueName="[Employe_Performance_dataset]" displayFolder="" count="0" memberValueDatatype="7" unbalanced="0"/>
    <cacheHierarchy uniqueName="[Employe_Performance_dataset].[Performance Score]" caption="Performance Score" attribute="1" defaultMemberUniqueName="[Employe_Performance_dataset].[Performance Score].[All]" allUniqueName="[Employe_Performance_dataset].[Performance Score].[All]" dimensionUniqueName="[Employe_Performance_dataset]" displayFolder="" count="0" memberValueDatatype="20" unbalanced="0"/>
    <cacheHierarchy uniqueName="[Employe_Performance_dataset].[Experience]" caption="Experience" attribute="1" defaultMemberUniqueName="[Employe_Performance_dataset].[Experience].[All]" allUniqueName="[Employe_Performance_dataset].[Experience].[All]" dimensionUniqueName="[Employe_Performance_dataset]" displayFolder="" count="0" memberValueDatatype="20" unbalanced="0"/>
    <cacheHierarchy uniqueName="[Employe_Performance_dataset].[Location]" caption="Location" attribute="1" defaultMemberUniqueName="[Employe_Performance_dataset].[Location].[All]" allUniqueName="[Employe_Performance_dataset].[Location].[All]" dimensionUniqueName="[Employe_Performance_dataset]" displayFolder="" count="0" memberValueDatatype="130" unbalanced="0"/>
    <cacheHierarchy uniqueName="[Employe_Performance_dataset].[Session]" caption="Session" attribute="1" defaultMemberUniqueName="[Employe_Performance_dataset].[Session].[All]" allUniqueName="[Employe_Performance_dataset].[Session].[All]" dimensionUniqueName="[Employe_Performance_dataset]" displayFolder="" count="0" memberValueDatatype="130" unbalanced="0"/>
    <cacheHierarchy uniqueName="[Employe_Performance_dataset].[WorkDuration]" caption="WorkDuration" attribute="1" defaultMemberUniqueName="[Employe_Performance_dataset].[WorkDuration].[All]" allUniqueName="[Employe_Performance_dataset].[WorkDuration].[All]" dimensionUniqueName="[Employe_Performance_dataset]" displayFolder="" count="0" memberValueDatatype="20" unbalanced="0"/>
    <cacheHierarchy uniqueName="[Measures].[Sum of Age]" caption="Sum of Age" measure="1" displayFolder="" measureGroup="Employe_Performance_dataset" count="0">
      <extLst>
        <ext xmlns:x15="http://schemas.microsoft.com/office/spreadsheetml/2010/11/main" uri="{B97F6D7D-B522-45F9-BDA1-12C45D357490}">
          <x15:cacheHierarchy aggregatedColumn="2"/>
        </ext>
      </extLst>
    </cacheHierarchy>
    <cacheHierarchy uniqueName="[Measures].[Max of Age]" caption="Max of Age" measure="1" displayFolder="" measureGroup="Employe_Performance_dataset" count="0">
      <extLst>
        <ext xmlns:x15="http://schemas.microsoft.com/office/spreadsheetml/2010/11/main" uri="{B97F6D7D-B522-45F9-BDA1-12C45D357490}">
          <x15:cacheHierarchy aggregatedColumn="2"/>
        </ext>
      </extLst>
    </cacheHierarchy>
    <cacheHierarchy uniqueName="[Measures].[Count of Joining Date]" caption="Count of Joining Date" measure="1" displayFolder="" measureGroup="Employe_Performance_dataset" count="0">
      <extLst>
        <ext xmlns:x15="http://schemas.microsoft.com/office/spreadsheetml/2010/11/main" uri="{B97F6D7D-B522-45F9-BDA1-12C45D357490}">
          <x15:cacheHierarchy aggregatedColumn="6"/>
        </ext>
      </extLst>
    </cacheHierarchy>
    <cacheHierarchy uniqueName="[Measures].[Sum of WorkDuration]" caption="Sum of WorkDuration" measure="1" displayFolder="" measureGroup="Employe_Performance_dataset" count="0">
      <extLst>
        <ext xmlns:x15="http://schemas.microsoft.com/office/spreadsheetml/2010/11/main" uri="{B97F6D7D-B522-45F9-BDA1-12C45D357490}">
          <x15:cacheHierarchy aggregatedColumn="11"/>
        </ext>
      </extLst>
    </cacheHierarchy>
    <cacheHierarchy uniqueName="[Measures].[Max of WorkDuration]" caption="Max of WorkDuration" measure="1" displayFolder="" measureGroup="Employe_Performance_dataset" count="0">
      <extLst>
        <ext xmlns:x15="http://schemas.microsoft.com/office/spreadsheetml/2010/11/main" uri="{B97F6D7D-B522-45F9-BDA1-12C45D357490}">
          <x15:cacheHierarchy aggregatedColumn="11"/>
        </ext>
      </extLst>
    </cacheHierarchy>
    <cacheHierarchy uniqueName="[Measures].[Count of Name]" caption="Count of Name" measure="1" displayFolder="" measureGroup="Employe_Performance_dataset" count="0">
      <extLst>
        <ext xmlns:x15="http://schemas.microsoft.com/office/spreadsheetml/2010/11/main" uri="{B97F6D7D-B522-45F9-BDA1-12C45D357490}">
          <x15:cacheHierarchy aggregatedColumn="1"/>
        </ext>
      </extLst>
    </cacheHierarchy>
    <cacheHierarchy uniqueName="[Measures].[Sum of Salary]" caption="Sum of Salary" measure="1" displayFolder="" measureGroup="Employe_Performance_dataset" count="0">
      <extLst>
        <ext xmlns:x15="http://schemas.microsoft.com/office/spreadsheetml/2010/11/main" uri="{B97F6D7D-B522-45F9-BDA1-12C45D357490}">
          <x15:cacheHierarchy aggregatedColumn="5"/>
        </ext>
      </extLst>
    </cacheHierarchy>
    <cacheHierarchy uniqueName="[Measures].[Sum of Experience]" caption="Sum of Experience" measure="1" displayFolder="" measureGroup="Employe_Performance_dataset" count="0">
      <extLst>
        <ext xmlns:x15="http://schemas.microsoft.com/office/spreadsheetml/2010/11/main" uri="{B97F6D7D-B522-45F9-BDA1-12C45D357490}">
          <x15:cacheHierarchy aggregatedColumn="8"/>
        </ext>
      </extLst>
    </cacheHierarchy>
    <cacheHierarchy uniqueName="[Measures].[TotalSalary]" caption="TotalSalary" measure="1" displayFolder="" measureGroup="Employe_Performance_dataset" count="0"/>
    <cacheHierarchy uniqueName="[Measures].[# TotalEmployees]" caption="# TotalEmployees" measure="1" displayFolder="" measureGroup="Employe_Performance_dataset" count="0"/>
    <cacheHierarchy uniqueName="[Measures].[AvgSalary]" caption="AvgSalary" measure="1" displayFolder="" measureGroup="Employe_Performance_dataset" count="0"/>
    <cacheHierarchy uniqueName="[Measures].[Employee&gt;50]" caption="Employee&gt;50" measure="1" displayFolder="" measureGroup="Employe_Performance_dataset" count="0"/>
    <cacheHierarchy uniqueName="[Measures].[FeEmployee]" caption="FeEmployee" measure="1" displayFolder="" measureGroup="Employe_Performance_dataset" count="0" oneField="1">
      <fieldsUsage count="1">
        <fieldUsage x="0"/>
      </fieldsUsage>
    </cacheHierarchy>
    <cacheHierarchy uniqueName="[Measures].[__XL_Count Employe_Performance_dataset]" caption="__XL_Count Employe_Performance_dataset" measure="1" displayFolder="" measureGroup="Employe_Performance_dataset" count="0" hidden="1"/>
    <cacheHierarchy uniqueName="[Measures].[__No measures defined]" caption="__No measures defined" measure="1" displayFolder="" count="0" hidden="1"/>
  </cacheHierarchies>
  <kpis count="0"/>
  <dimensions count="2">
    <dimension name="Employe_Performance_dataset" uniqueName="[Employe_Performance_dataset]" caption="Employe_Performance_dataset"/>
    <dimension measure="1" name="Measures" uniqueName="[Measures]" caption="Measures"/>
  </dimensions>
  <measureGroups count="1">
    <measureGroup name="Employe_Performance_dataset" caption="Employe_Performance_dataset"/>
  </measureGroups>
  <maps count="1">
    <map measureGroup="0" dimension="0"/>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sama Muharram" refreshedDate="45658.96994166667" backgroundQuery="1" createdVersion="8" refreshedVersion="8" minRefreshableVersion="3" recordCount="0" supportSubquery="1" supportAdvancedDrill="1" xr:uid="{EB44F4FD-7C71-4093-AA58-7C73C3A13169}">
  <cacheSource type="external" connectionId="2"/>
  <cacheFields count="1">
    <cacheField name="[Measures].[Employee&gt;50]" caption="Employee&gt;50" numFmtId="0" hierarchy="23" level="32767"/>
  </cacheFields>
  <cacheHierarchies count="27">
    <cacheHierarchy uniqueName="[Employe_Performance_dataset].[ID]" caption="ID" attribute="1" defaultMemberUniqueName="[Employe_Performance_dataset].[ID].[All]" allUniqueName="[Employe_Performance_dataset].[ID].[All]" dimensionUniqueName="[Employe_Performance_dataset]" displayFolder="" count="0" memberValueDatatype="20" unbalanced="0"/>
    <cacheHierarchy uniqueName="[Employe_Performance_dataset].[Name]" caption="Name" attribute="1" defaultMemberUniqueName="[Employe_Performance_dataset].[Name].[All]" allUniqueName="[Employe_Performance_dataset].[Name].[All]" dimensionUniqueName="[Employe_Performance_dataset]" displayFolder="" count="0" memberValueDatatype="130" unbalanced="0"/>
    <cacheHierarchy uniqueName="[Employe_Performance_dataset].[Age]" caption="Age" attribute="1" defaultMemberUniqueName="[Employe_Performance_dataset].[Age].[All]" allUniqueName="[Employe_Performance_dataset].[Age].[All]" dimensionUniqueName="[Employe_Performance_dataset]" displayFolder="" count="0" memberValueDatatype="20" unbalanced="0"/>
    <cacheHierarchy uniqueName="[Employe_Performance_dataset].[Gender]" caption="Gender" attribute="1" defaultMemberUniqueName="[Employe_Performance_dataset].[Gender].[All]" allUniqueName="[Employe_Performance_dataset].[Gender].[All]" dimensionUniqueName="[Employe_Performance_dataset]" displayFolder="" count="0" memberValueDatatype="130" unbalanced="0"/>
    <cacheHierarchy uniqueName="[Employe_Performance_dataset].[Department]" caption="Department" attribute="1" defaultMemberUniqueName="[Employe_Performance_dataset].[Department].[All]" allUniqueName="[Employe_Performance_dataset].[Department].[All]" dimensionUniqueName="[Employe_Performance_dataset]" displayFolder="" count="0" memberValueDatatype="130" unbalanced="0"/>
    <cacheHierarchy uniqueName="[Employe_Performance_dataset].[Salary]" caption="Salary" attribute="1" defaultMemberUniqueName="[Employe_Performance_dataset].[Salary].[All]" allUniqueName="[Employe_Performance_dataset].[Salary].[All]" dimensionUniqueName="[Employe_Performance_dataset]" displayFolder="" count="0" memberValueDatatype="20" unbalanced="0"/>
    <cacheHierarchy uniqueName="[Employe_Performance_dataset].[Joining Date]" caption="Joining Date" attribute="1" time="1" defaultMemberUniqueName="[Employe_Performance_dataset].[Joining Date].[All]" allUniqueName="[Employe_Performance_dataset].[Joining Date].[All]" dimensionUniqueName="[Employe_Performance_dataset]" displayFolder="" count="0" memberValueDatatype="7" unbalanced="0"/>
    <cacheHierarchy uniqueName="[Employe_Performance_dataset].[Performance Score]" caption="Performance Score" attribute="1" defaultMemberUniqueName="[Employe_Performance_dataset].[Performance Score].[All]" allUniqueName="[Employe_Performance_dataset].[Performance Score].[All]" dimensionUniqueName="[Employe_Performance_dataset]" displayFolder="" count="0" memberValueDatatype="20" unbalanced="0"/>
    <cacheHierarchy uniqueName="[Employe_Performance_dataset].[Experience]" caption="Experience" attribute="1" defaultMemberUniqueName="[Employe_Performance_dataset].[Experience].[All]" allUniqueName="[Employe_Performance_dataset].[Experience].[All]" dimensionUniqueName="[Employe_Performance_dataset]" displayFolder="" count="0" memberValueDatatype="20" unbalanced="0"/>
    <cacheHierarchy uniqueName="[Employe_Performance_dataset].[Location]" caption="Location" attribute="1" defaultMemberUniqueName="[Employe_Performance_dataset].[Location].[All]" allUniqueName="[Employe_Performance_dataset].[Location].[All]" dimensionUniqueName="[Employe_Performance_dataset]" displayFolder="" count="0" memberValueDatatype="130" unbalanced="0"/>
    <cacheHierarchy uniqueName="[Employe_Performance_dataset].[Session]" caption="Session" attribute="1" defaultMemberUniqueName="[Employe_Performance_dataset].[Session].[All]" allUniqueName="[Employe_Performance_dataset].[Session].[All]" dimensionUniqueName="[Employe_Performance_dataset]" displayFolder="" count="0" memberValueDatatype="130" unbalanced="0"/>
    <cacheHierarchy uniqueName="[Employe_Performance_dataset].[WorkDuration]" caption="WorkDuration" attribute="1" defaultMemberUniqueName="[Employe_Performance_dataset].[WorkDuration].[All]" allUniqueName="[Employe_Performance_dataset].[WorkDuration].[All]" dimensionUniqueName="[Employe_Performance_dataset]" displayFolder="" count="0" memberValueDatatype="20" unbalanced="0"/>
    <cacheHierarchy uniqueName="[Measures].[Sum of Age]" caption="Sum of Age" measure="1" displayFolder="" measureGroup="Employe_Performance_dataset" count="0">
      <extLst>
        <ext xmlns:x15="http://schemas.microsoft.com/office/spreadsheetml/2010/11/main" uri="{B97F6D7D-B522-45F9-BDA1-12C45D357490}">
          <x15:cacheHierarchy aggregatedColumn="2"/>
        </ext>
      </extLst>
    </cacheHierarchy>
    <cacheHierarchy uniqueName="[Measures].[Max of Age]" caption="Max of Age" measure="1" displayFolder="" measureGroup="Employe_Performance_dataset" count="0">
      <extLst>
        <ext xmlns:x15="http://schemas.microsoft.com/office/spreadsheetml/2010/11/main" uri="{B97F6D7D-B522-45F9-BDA1-12C45D357490}">
          <x15:cacheHierarchy aggregatedColumn="2"/>
        </ext>
      </extLst>
    </cacheHierarchy>
    <cacheHierarchy uniqueName="[Measures].[Count of Joining Date]" caption="Count of Joining Date" measure="1" displayFolder="" measureGroup="Employe_Performance_dataset" count="0">
      <extLst>
        <ext xmlns:x15="http://schemas.microsoft.com/office/spreadsheetml/2010/11/main" uri="{B97F6D7D-B522-45F9-BDA1-12C45D357490}">
          <x15:cacheHierarchy aggregatedColumn="6"/>
        </ext>
      </extLst>
    </cacheHierarchy>
    <cacheHierarchy uniqueName="[Measures].[Sum of WorkDuration]" caption="Sum of WorkDuration" measure="1" displayFolder="" measureGroup="Employe_Performance_dataset" count="0">
      <extLst>
        <ext xmlns:x15="http://schemas.microsoft.com/office/spreadsheetml/2010/11/main" uri="{B97F6D7D-B522-45F9-BDA1-12C45D357490}">
          <x15:cacheHierarchy aggregatedColumn="11"/>
        </ext>
      </extLst>
    </cacheHierarchy>
    <cacheHierarchy uniqueName="[Measures].[Max of WorkDuration]" caption="Max of WorkDuration" measure="1" displayFolder="" measureGroup="Employe_Performance_dataset" count="0">
      <extLst>
        <ext xmlns:x15="http://schemas.microsoft.com/office/spreadsheetml/2010/11/main" uri="{B97F6D7D-B522-45F9-BDA1-12C45D357490}">
          <x15:cacheHierarchy aggregatedColumn="11"/>
        </ext>
      </extLst>
    </cacheHierarchy>
    <cacheHierarchy uniqueName="[Measures].[Count of Name]" caption="Count of Name" measure="1" displayFolder="" measureGroup="Employe_Performance_dataset" count="0">
      <extLst>
        <ext xmlns:x15="http://schemas.microsoft.com/office/spreadsheetml/2010/11/main" uri="{B97F6D7D-B522-45F9-BDA1-12C45D357490}">
          <x15:cacheHierarchy aggregatedColumn="1"/>
        </ext>
      </extLst>
    </cacheHierarchy>
    <cacheHierarchy uniqueName="[Measures].[Sum of Salary]" caption="Sum of Salary" measure="1" displayFolder="" measureGroup="Employe_Performance_dataset" count="0">
      <extLst>
        <ext xmlns:x15="http://schemas.microsoft.com/office/spreadsheetml/2010/11/main" uri="{B97F6D7D-B522-45F9-BDA1-12C45D357490}">
          <x15:cacheHierarchy aggregatedColumn="5"/>
        </ext>
      </extLst>
    </cacheHierarchy>
    <cacheHierarchy uniqueName="[Measures].[Sum of Experience]" caption="Sum of Experience" measure="1" displayFolder="" measureGroup="Employe_Performance_dataset" count="0">
      <extLst>
        <ext xmlns:x15="http://schemas.microsoft.com/office/spreadsheetml/2010/11/main" uri="{B97F6D7D-B522-45F9-BDA1-12C45D357490}">
          <x15:cacheHierarchy aggregatedColumn="8"/>
        </ext>
      </extLst>
    </cacheHierarchy>
    <cacheHierarchy uniqueName="[Measures].[TotalSalary]" caption="TotalSalary" measure="1" displayFolder="" measureGroup="Employe_Performance_dataset" count="0"/>
    <cacheHierarchy uniqueName="[Measures].[# TotalEmployees]" caption="# TotalEmployees" measure="1" displayFolder="" measureGroup="Employe_Performance_dataset" count="0"/>
    <cacheHierarchy uniqueName="[Measures].[AvgSalary]" caption="AvgSalary" measure="1" displayFolder="" measureGroup="Employe_Performance_dataset" count="0"/>
    <cacheHierarchy uniqueName="[Measures].[Employee&gt;50]" caption="Employee&gt;50" measure="1" displayFolder="" measureGroup="Employe_Performance_dataset" count="0" oneField="1">
      <fieldsUsage count="1">
        <fieldUsage x="0"/>
      </fieldsUsage>
    </cacheHierarchy>
    <cacheHierarchy uniqueName="[Measures].[FeEmployee]" caption="FeEmployee" measure="1" displayFolder="" measureGroup="Employe_Performance_dataset" count="0"/>
    <cacheHierarchy uniqueName="[Measures].[__XL_Count Employe_Performance_dataset]" caption="__XL_Count Employe_Performance_dataset" measure="1" displayFolder="" measureGroup="Employe_Performance_dataset" count="0" hidden="1"/>
    <cacheHierarchy uniqueName="[Measures].[__No measures defined]" caption="__No measures defined" measure="1" displayFolder="" count="0" hidden="1"/>
  </cacheHierarchies>
  <kpis count="0"/>
  <dimensions count="2">
    <dimension name="Employe_Performance_dataset" uniqueName="[Employe_Performance_dataset]" caption="Employe_Performance_dataset"/>
    <dimension measure="1" name="Measures" uniqueName="[Measures]" caption="Measures"/>
  </dimensions>
  <measureGroups count="1">
    <measureGroup name="Employe_Performance_dataset" caption="Employe_Performance_dataset"/>
  </measureGroups>
  <maps count="1">
    <map measureGroup="0" dimension="0"/>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sama Muharram" refreshedDate="45658.969943750002" backgroundQuery="1" createdVersion="8" refreshedVersion="8" minRefreshableVersion="3" recordCount="0" supportSubquery="1" supportAdvancedDrill="1" xr:uid="{B330F166-896A-4E55-B35A-E3CED3A8BAC0}">
  <cacheSource type="external" connectionId="2"/>
  <cacheFields count="3">
    <cacheField name="[Employe_Performance_dataset].[Name].[Name]" caption="Name" numFmtId="0" hierarchy="1" level="1">
      <sharedItems count="11">
        <s v="Angela Bell"/>
        <s v="Carl Armstrong"/>
        <s v="Donna King"/>
        <s v="Dylan Dixon"/>
        <s v="Erin Cunningham"/>
        <s v="Jonathon Mclaughlin"/>
        <s v="Jordan Scott"/>
        <s v="Mrs. Kimberly Day MD"/>
        <s v="Stephen Weber"/>
        <s v="Susan Davis"/>
        <s v="Tammy Allison"/>
      </sharedItems>
    </cacheField>
    <cacheField name="[Measures].[Max of WorkDuration]" caption="Max of WorkDuration" numFmtId="0" hierarchy="16" level="32767"/>
    <cacheField name="[Employe_Performance_dataset].[Performance Score].[Performance Score]" caption="Performance Score" numFmtId="0" hierarchy="7" level="1">
      <sharedItems containsSemiMixedTypes="0" containsNonDate="0" containsString="0"/>
    </cacheField>
  </cacheFields>
  <cacheHierarchies count="27">
    <cacheHierarchy uniqueName="[Employe_Performance_dataset].[ID]" caption="ID" attribute="1" defaultMemberUniqueName="[Employe_Performance_dataset].[ID].[All]" allUniqueName="[Employe_Performance_dataset].[ID].[All]" dimensionUniqueName="[Employe_Performance_dataset]" displayFolder="" count="0" memberValueDatatype="20" unbalanced="0"/>
    <cacheHierarchy uniqueName="[Employe_Performance_dataset].[Name]" caption="Name" attribute="1" defaultMemberUniqueName="[Employe_Performance_dataset].[Name].[All]" allUniqueName="[Employe_Performance_dataset].[Name].[All]" dimensionUniqueName="[Employe_Performance_dataset]" displayFolder="" count="2" memberValueDatatype="130" unbalanced="0">
      <fieldsUsage count="2">
        <fieldUsage x="-1"/>
        <fieldUsage x="0"/>
      </fieldsUsage>
    </cacheHierarchy>
    <cacheHierarchy uniqueName="[Employe_Performance_dataset].[Age]" caption="Age" attribute="1" defaultMemberUniqueName="[Employe_Performance_dataset].[Age].[All]" allUniqueName="[Employe_Performance_dataset].[Age].[All]" dimensionUniqueName="[Employe_Performance_dataset]" displayFolder="" count="0" memberValueDatatype="20" unbalanced="0"/>
    <cacheHierarchy uniqueName="[Employe_Performance_dataset].[Gender]" caption="Gender" attribute="1" defaultMemberUniqueName="[Employe_Performance_dataset].[Gender].[All]" allUniqueName="[Employe_Performance_dataset].[Gender].[All]" dimensionUniqueName="[Employe_Performance_dataset]" displayFolder="" count="0" memberValueDatatype="130" unbalanced="0"/>
    <cacheHierarchy uniqueName="[Employe_Performance_dataset].[Department]" caption="Department" attribute="1" defaultMemberUniqueName="[Employe_Performance_dataset].[Department].[All]" allUniqueName="[Employe_Performance_dataset].[Department].[All]" dimensionUniqueName="[Employe_Performance_dataset]" displayFolder="" count="0" memberValueDatatype="130" unbalanced="0"/>
    <cacheHierarchy uniqueName="[Employe_Performance_dataset].[Salary]" caption="Salary" attribute="1" defaultMemberUniqueName="[Employe_Performance_dataset].[Salary].[All]" allUniqueName="[Employe_Performance_dataset].[Salary].[All]" dimensionUniqueName="[Employe_Performance_dataset]" displayFolder="" count="0" memberValueDatatype="20" unbalanced="0"/>
    <cacheHierarchy uniqueName="[Employe_Performance_dataset].[Joining Date]" caption="Joining Date" attribute="1" time="1" defaultMemberUniqueName="[Employe_Performance_dataset].[Joining Date].[All]" allUniqueName="[Employe_Performance_dataset].[Joining Date].[All]" dimensionUniqueName="[Employe_Performance_dataset]" displayFolder="" count="0" memberValueDatatype="7" unbalanced="0"/>
    <cacheHierarchy uniqueName="[Employe_Performance_dataset].[Performance Score]" caption="Performance Score" attribute="1" defaultMemberUniqueName="[Employe_Performance_dataset].[Performance Score].[All]" allUniqueName="[Employe_Performance_dataset].[Performance Score].[All]" dimensionUniqueName="[Employe_Performance_dataset]" displayFolder="" count="2" memberValueDatatype="20" unbalanced="0">
      <fieldsUsage count="2">
        <fieldUsage x="-1"/>
        <fieldUsage x="2"/>
      </fieldsUsage>
    </cacheHierarchy>
    <cacheHierarchy uniqueName="[Employe_Performance_dataset].[Experience]" caption="Experience" attribute="1" defaultMemberUniqueName="[Employe_Performance_dataset].[Experience].[All]" allUniqueName="[Employe_Performance_dataset].[Experience].[All]" dimensionUniqueName="[Employe_Performance_dataset]" displayFolder="" count="0" memberValueDatatype="20" unbalanced="0"/>
    <cacheHierarchy uniqueName="[Employe_Performance_dataset].[Location]" caption="Location" attribute="1" defaultMemberUniqueName="[Employe_Performance_dataset].[Location].[All]" allUniqueName="[Employe_Performance_dataset].[Location].[All]" dimensionUniqueName="[Employe_Performance_dataset]" displayFolder="" count="0" memberValueDatatype="130" unbalanced="0"/>
    <cacheHierarchy uniqueName="[Employe_Performance_dataset].[Session]" caption="Session" attribute="1" defaultMemberUniqueName="[Employe_Performance_dataset].[Session].[All]" allUniqueName="[Employe_Performance_dataset].[Session].[All]" dimensionUniqueName="[Employe_Performance_dataset]" displayFolder="" count="0" memberValueDatatype="130" unbalanced="0"/>
    <cacheHierarchy uniqueName="[Employe_Performance_dataset].[WorkDuration]" caption="WorkDuration" attribute="1" defaultMemberUniqueName="[Employe_Performance_dataset].[WorkDuration].[All]" allUniqueName="[Employe_Performance_dataset].[WorkDuration].[All]" dimensionUniqueName="[Employe_Performance_dataset]" displayFolder="" count="0" memberValueDatatype="20" unbalanced="0"/>
    <cacheHierarchy uniqueName="[Measures].[Sum of Age]" caption="Sum of Age" measure="1" displayFolder="" measureGroup="Employe_Performance_dataset" count="0">
      <extLst>
        <ext xmlns:x15="http://schemas.microsoft.com/office/spreadsheetml/2010/11/main" uri="{B97F6D7D-B522-45F9-BDA1-12C45D357490}">
          <x15:cacheHierarchy aggregatedColumn="2"/>
        </ext>
      </extLst>
    </cacheHierarchy>
    <cacheHierarchy uniqueName="[Measures].[Max of Age]" caption="Max of Age" measure="1" displayFolder="" measureGroup="Employe_Performance_dataset" count="0">
      <extLst>
        <ext xmlns:x15="http://schemas.microsoft.com/office/spreadsheetml/2010/11/main" uri="{B97F6D7D-B522-45F9-BDA1-12C45D357490}">
          <x15:cacheHierarchy aggregatedColumn="2"/>
        </ext>
      </extLst>
    </cacheHierarchy>
    <cacheHierarchy uniqueName="[Measures].[Count of Joining Date]" caption="Count of Joining Date" measure="1" displayFolder="" measureGroup="Employe_Performance_dataset" count="0">
      <extLst>
        <ext xmlns:x15="http://schemas.microsoft.com/office/spreadsheetml/2010/11/main" uri="{B97F6D7D-B522-45F9-BDA1-12C45D357490}">
          <x15:cacheHierarchy aggregatedColumn="6"/>
        </ext>
      </extLst>
    </cacheHierarchy>
    <cacheHierarchy uniqueName="[Measures].[Sum of WorkDuration]" caption="Sum of WorkDuration" measure="1" displayFolder="" measureGroup="Employe_Performance_dataset" count="0">
      <extLst>
        <ext xmlns:x15="http://schemas.microsoft.com/office/spreadsheetml/2010/11/main" uri="{B97F6D7D-B522-45F9-BDA1-12C45D357490}">
          <x15:cacheHierarchy aggregatedColumn="11"/>
        </ext>
      </extLst>
    </cacheHierarchy>
    <cacheHierarchy uniqueName="[Measures].[Max of WorkDuration]" caption="Max of WorkDuration" measure="1" displayFolder="" measureGroup="Employe_Performance_dataset" count="0" oneField="1">
      <fieldsUsage count="1">
        <fieldUsage x="1"/>
      </fieldsUsage>
      <extLst>
        <ext xmlns:x15="http://schemas.microsoft.com/office/spreadsheetml/2010/11/main" uri="{B97F6D7D-B522-45F9-BDA1-12C45D357490}">
          <x15:cacheHierarchy aggregatedColumn="11"/>
        </ext>
      </extLst>
    </cacheHierarchy>
    <cacheHierarchy uniqueName="[Measures].[Count of Name]" caption="Count of Name" measure="1" displayFolder="" measureGroup="Employe_Performance_dataset" count="0">
      <extLst>
        <ext xmlns:x15="http://schemas.microsoft.com/office/spreadsheetml/2010/11/main" uri="{B97F6D7D-B522-45F9-BDA1-12C45D357490}">
          <x15:cacheHierarchy aggregatedColumn="1"/>
        </ext>
      </extLst>
    </cacheHierarchy>
    <cacheHierarchy uniqueName="[Measures].[Sum of Salary]" caption="Sum of Salary" measure="1" displayFolder="" measureGroup="Employe_Performance_dataset" count="0">
      <extLst>
        <ext xmlns:x15="http://schemas.microsoft.com/office/spreadsheetml/2010/11/main" uri="{B97F6D7D-B522-45F9-BDA1-12C45D357490}">
          <x15:cacheHierarchy aggregatedColumn="5"/>
        </ext>
      </extLst>
    </cacheHierarchy>
    <cacheHierarchy uniqueName="[Measures].[Sum of Experience]" caption="Sum of Experience" measure="1" displayFolder="" measureGroup="Employe_Performance_dataset" count="0">
      <extLst>
        <ext xmlns:x15="http://schemas.microsoft.com/office/spreadsheetml/2010/11/main" uri="{B97F6D7D-B522-45F9-BDA1-12C45D357490}">
          <x15:cacheHierarchy aggregatedColumn="8"/>
        </ext>
      </extLst>
    </cacheHierarchy>
    <cacheHierarchy uniqueName="[Measures].[TotalSalary]" caption="TotalSalary" measure="1" displayFolder="" measureGroup="Employe_Performance_dataset" count="0"/>
    <cacheHierarchy uniqueName="[Measures].[# TotalEmployees]" caption="# TotalEmployees" measure="1" displayFolder="" measureGroup="Employe_Performance_dataset" count="0"/>
    <cacheHierarchy uniqueName="[Measures].[AvgSalary]" caption="AvgSalary" measure="1" displayFolder="" measureGroup="Employe_Performance_dataset" count="0"/>
    <cacheHierarchy uniqueName="[Measures].[Employee&gt;50]" caption="Employee&gt;50" measure="1" displayFolder="" measureGroup="Employe_Performance_dataset" count="0"/>
    <cacheHierarchy uniqueName="[Measures].[FeEmployee]" caption="FeEmployee" measure="1" displayFolder="" measureGroup="Employe_Performance_dataset" count="0"/>
    <cacheHierarchy uniqueName="[Measures].[__XL_Count Employe_Performance_dataset]" caption="__XL_Count Employe_Performance_dataset" measure="1" displayFolder="" measureGroup="Employe_Performance_dataset" count="0" hidden="1"/>
    <cacheHierarchy uniqueName="[Measures].[__No measures defined]" caption="__No measures defined" measure="1" displayFolder="" count="0" hidden="1"/>
  </cacheHierarchies>
  <kpis count="0"/>
  <dimensions count="2">
    <dimension name="Employe_Performance_dataset" uniqueName="[Employe_Performance_dataset]" caption="Employe_Performance_dataset"/>
    <dimension measure="1" name="Measures" uniqueName="[Measures]" caption="Measures"/>
  </dimensions>
  <measureGroups count="1">
    <measureGroup name="Employe_Performance_dataset" caption="Employe_Performance_dataset"/>
  </measureGroups>
  <maps count="1">
    <map measureGroup="0" dimension="0"/>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sama Muharram" refreshedDate="45658.969946064812" backgroundQuery="1" createdVersion="8" refreshedVersion="8" minRefreshableVersion="3" recordCount="0" supportSubquery="1" supportAdvancedDrill="1" xr:uid="{6620E94E-66F0-40DB-88AA-B9A6EE38D0B4}">
  <cacheSource type="external" connectionId="2"/>
  <cacheFields count="4">
    <cacheField name="[Employe_Performance_dataset].[Name].[Name]" caption="Name" numFmtId="0" hierarchy="1" level="1">
      <sharedItems count="3">
        <s v="Christie Warren"/>
        <s v="Jordan Scott"/>
        <s v="Kimberly Ross"/>
      </sharedItems>
    </cacheField>
    <cacheField name="[Measures].[TotalSalary]" caption="TotalSalary" numFmtId="0" hierarchy="20" level="32767"/>
    <cacheField name="[Employe_Performance_dataset].[Performance Score].[Performance Score]" caption="Performance Score" numFmtId="0" hierarchy="7" level="1">
      <sharedItems containsSemiMixedTypes="0" containsNonDate="0" containsString="0"/>
    </cacheField>
    <cacheField name="[Employe_Performance_dataset].[Department].[Department]" caption="Department" numFmtId="0" hierarchy="4" level="1">
      <sharedItems containsSemiMixedTypes="0" containsNonDate="0" containsString="0"/>
    </cacheField>
  </cacheFields>
  <cacheHierarchies count="27">
    <cacheHierarchy uniqueName="[Employe_Performance_dataset].[ID]" caption="ID" attribute="1" defaultMemberUniqueName="[Employe_Performance_dataset].[ID].[All]" allUniqueName="[Employe_Performance_dataset].[ID].[All]" dimensionUniqueName="[Employe_Performance_dataset]" displayFolder="" count="0" memberValueDatatype="20" unbalanced="0"/>
    <cacheHierarchy uniqueName="[Employe_Performance_dataset].[Name]" caption="Name" attribute="1" defaultMemberUniqueName="[Employe_Performance_dataset].[Name].[All]" allUniqueName="[Employe_Performance_dataset].[Name].[All]" dimensionUniqueName="[Employe_Performance_dataset]" displayFolder="" count="2" memberValueDatatype="130" unbalanced="0">
      <fieldsUsage count="2">
        <fieldUsage x="-1"/>
        <fieldUsage x="0"/>
      </fieldsUsage>
    </cacheHierarchy>
    <cacheHierarchy uniqueName="[Employe_Performance_dataset].[Age]" caption="Age" attribute="1" defaultMemberUniqueName="[Employe_Performance_dataset].[Age].[All]" allUniqueName="[Employe_Performance_dataset].[Age].[All]" dimensionUniqueName="[Employe_Performance_dataset]" displayFolder="" count="0" memberValueDatatype="20" unbalanced="0"/>
    <cacheHierarchy uniqueName="[Employe_Performance_dataset].[Gender]" caption="Gender" attribute="1" defaultMemberUniqueName="[Employe_Performance_dataset].[Gender].[All]" allUniqueName="[Employe_Performance_dataset].[Gender].[All]" dimensionUniqueName="[Employe_Performance_dataset]" displayFolder="" count="0" memberValueDatatype="130" unbalanced="0"/>
    <cacheHierarchy uniqueName="[Employe_Performance_dataset].[Department]" caption="Department" attribute="1" defaultMemberUniqueName="[Employe_Performance_dataset].[Department].[All]" allUniqueName="[Employe_Performance_dataset].[Department].[All]" dimensionUniqueName="[Employe_Performance_dataset]" displayFolder="" count="2" memberValueDatatype="130" unbalanced="0">
      <fieldsUsage count="2">
        <fieldUsage x="-1"/>
        <fieldUsage x="3"/>
      </fieldsUsage>
    </cacheHierarchy>
    <cacheHierarchy uniqueName="[Employe_Performance_dataset].[Salary]" caption="Salary" attribute="1" defaultMemberUniqueName="[Employe_Performance_dataset].[Salary].[All]" allUniqueName="[Employe_Performance_dataset].[Salary].[All]" dimensionUniqueName="[Employe_Performance_dataset]" displayFolder="" count="0" memberValueDatatype="20" unbalanced="0"/>
    <cacheHierarchy uniqueName="[Employe_Performance_dataset].[Joining Date]" caption="Joining Date" attribute="1" time="1" defaultMemberUniqueName="[Employe_Performance_dataset].[Joining Date].[All]" allUniqueName="[Employe_Performance_dataset].[Joining Date].[All]" dimensionUniqueName="[Employe_Performance_dataset]" displayFolder="" count="0" memberValueDatatype="7" unbalanced="0"/>
    <cacheHierarchy uniqueName="[Employe_Performance_dataset].[Performance Score]" caption="Performance Score" attribute="1" defaultMemberUniqueName="[Employe_Performance_dataset].[Performance Score].[All]" allUniqueName="[Employe_Performance_dataset].[Performance Score].[All]" dimensionUniqueName="[Employe_Performance_dataset]" displayFolder="" count="2" memberValueDatatype="20" unbalanced="0">
      <fieldsUsage count="2">
        <fieldUsage x="-1"/>
        <fieldUsage x="2"/>
      </fieldsUsage>
    </cacheHierarchy>
    <cacheHierarchy uniqueName="[Employe_Performance_dataset].[Experience]" caption="Experience" attribute="1" defaultMemberUniqueName="[Employe_Performance_dataset].[Experience].[All]" allUniqueName="[Employe_Performance_dataset].[Experience].[All]" dimensionUniqueName="[Employe_Performance_dataset]" displayFolder="" count="0" memberValueDatatype="20" unbalanced="0"/>
    <cacheHierarchy uniqueName="[Employe_Performance_dataset].[Location]" caption="Location" attribute="1" defaultMemberUniqueName="[Employe_Performance_dataset].[Location].[All]" allUniqueName="[Employe_Performance_dataset].[Location].[All]" dimensionUniqueName="[Employe_Performance_dataset]" displayFolder="" count="0" memberValueDatatype="130" unbalanced="0"/>
    <cacheHierarchy uniqueName="[Employe_Performance_dataset].[Session]" caption="Session" attribute="1" defaultMemberUniqueName="[Employe_Performance_dataset].[Session].[All]" allUniqueName="[Employe_Performance_dataset].[Session].[All]" dimensionUniqueName="[Employe_Performance_dataset]" displayFolder="" count="0" memberValueDatatype="130" unbalanced="0"/>
    <cacheHierarchy uniqueName="[Employe_Performance_dataset].[WorkDuration]" caption="WorkDuration" attribute="1" defaultMemberUniqueName="[Employe_Performance_dataset].[WorkDuration].[All]" allUniqueName="[Employe_Performance_dataset].[WorkDuration].[All]" dimensionUniqueName="[Employe_Performance_dataset]" displayFolder="" count="0" memberValueDatatype="20" unbalanced="0"/>
    <cacheHierarchy uniqueName="[Measures].[Sum of Age]" caption="Sum of Age" measure="1" displayFolder="" measureGroup="Employe_Performance_dataset" count="0">
      <extLst>
        <ext xmlns:x15="http://schemas.microsoft.com/office/spreadsheetml/2010/11/main" uri="{B97F6D7D-B522-45F9-BDA1-12C45D357490}">
          <x15:cacheHierarchy aggregatedColumn="2"/>
        </ext>
      </extLst>
    </cacheHierarchy>
    <cacheHierarchy uniqueName="[Measures].[Max of Age]" caption="Max of Age" measure="1" displayFolder="" measureGroup="Employe_Performance_dataset" count="0">
      <extLst>
        <ext xmlns:x15="http://schemas.microsoft.com/office/spreadsheetml/2010/11/main" uri="{B97F6D7D-B522-45F9-BDA1-12C45D357490}">
          <x15:cacheHierarchy aggregatedColumn="2"/>
        </ext>
      </extLst>
    </cacheHierarchy>
    <cacheHierarchy uniqueName="[Measures].[Count of Joining Date]" caption="Count of Joining Date" measure="1" displayFolder="" measureGroup="Employe_Performance_dataset" count="0">
      <extLst>
        <ext xmlns:x15="http://schemas.microsoft.com/office/spreadsheetml/2010/11/main" uri="{B97F6D7D-B522-45F9-BDA1-12C45D357490}">
          <x15:cacheHierarchy aggregatedColumn="6"/>
        </ext>
      </extLst>
    </cacheHierarchy>
    <cacheHierarchy uniqueName="[Measures].[Sum of WorkDuration]" caption="Sum of WorkDuration" measure="1" displayFolder="" measureGroup="Employe_Performance_dataset" count="0">
      <extLst>
        <ext xmlns:x15="http://schemas.microsoft.com/office/spreadsheetml/2010/11/main" uri="{B97F6D7D-B522-45F9-BDA1-12C45D357490}">
          <x15:cacheHierarchy aggregatedColumn="11"/>
        </ext>
      </extLst>
    </cacheHierarchy>
    <cacheHierarchy uniqueName="[Measures].[Max of WorkDuration]" caption="Max of WorkDuration" measure="1" displayFolder="" measureGroup="Employe_Performance_dataset" count="0">
      <extLst>
        <ext xmlns:x15="http://schemas.microsoft.com/office/spreadsheetml/2010/11/main" uri="{B97F6D7D-B522-45F9-BDA1-12C45D357490}">
          <x15:cacheHierarchy aggregatedColumn="11"/>
        </ext>
      </extLst>
    </cacheHierarchy>
    <cacheHierarchy uniqueName="[Measures].[Count of Name]" caption="Count of Name" measure="1" displayFolder="" measureGroup="Employe_Performance_dataset" count="0">
      <extLst>
        <ext xmlns:x15="http://schemas.microsoft.com/office/spreadsheetml/2010/11/main" uri="{B97F6D7D-B522-45F9-BDA1-12C45D357490}">
          <x15:cacheHierarchy aggregatedColumn="1"/>
        </ext>
      </extLst>
    </cacheHierarchy>
    <cacheHierarchy uniqueName="[Measures].[Sum of Salary]" caption="Sum of Salary" measure="1" displayFolder="" measureGroup="Employe_Performance_dataset" count="0">
      <extLst>
        <ext xmlns:x15="http://schemas.microsoft.com/office/spreadsheetml/2010/11/main" uri="{B97F6D7D-B522-45F9-BDA1-12C45D357490}">
          <x15:cacheHierarchy aggregatedColumn="5"/>
        </ext>
      </extLst>
    </cacheHierarchy>
    <cacheHierarchy uniqueName="[Measures].[Sum of Experience]" caption="Sum of Experience" measure="1" displayFolder="" measureGroup="Employe_Performance_dataset" count="0">
      <extLst>
        <ext xmlns:x15="http://schemas.microsoft.com/office/spreadsheetml/2010/11/main" uri="{B97F6D7D-B522-45F9-BDA1-12C45D357490}">
          <x15:cacheHierarchy aggregatedColumn="8"/>
        </ext>
      </extLst>
    </cacheHierarchy>
    <cacheHierarchy uniqueName="[Measures].[TotalSalary]" caption="TotalSalary" measure="1" displayFolder="" measureGroup="Employe_Performance_dataset" count="0" oneField="1">
      <fieldsUsage count="1">
        <fieldUsage x="1"/>
      </fieldsUsage>
    </cacheHierarchy>
    <cacheHierarchy uniqueName="[Measures].[# TotalEmployees]" caption="# TotalEmployees" measure="1" displayFolder="" measureGroup="Employe_Performance_dataset" count="0"/>
    <cacheHierarchy uniqueName="[Measures].[AvgSalary]" caption="AvgSalary" measure="1" displayFolder="" measureGroup="Employe_Performance_dataset" count="0"/>
    <cacheHierarchy uniqueName="[Measures].[Employee&gt;50]" caption="Employee&gt;50" measure="1" displayFolder="" measureGroup="Employe_Performance_dataset" count="0"/>
    <cacheHierarchy uniqueName="[Measures].[FeEmployee]" caption="FeEmployee" measure="1" displayFolder="" measureGroup="Employe_Performance_dataset" count="0"/>
    <cacheHierarchy uniqueName="[Measures].[__XL_Count Employe_Performance_dataset]" caption="__XL_Count Employe_Performance_dataset" measure="1" displayFolder="" measureGroup="Employe_Performance_dataset" count="0" hidden="1"/>
    <cacheHierarchy uniqueName="[Measures].[__No measures defined]" caption="__No measures defined" measure="1" displayFolder="" count="0" hidden="1"/>
  </cacheHierarchies>
  <kpis count="0"/>
  <dimensions count="2">
    <dimension name="Employe_Performance_dataset" uniqueName="[Employe_Performance_dataset]" caption="Employe_Performance_dataset"/>
    <dimension measure="1" name="Measures" uniqueName="[Measures]" caption="Measures"/>
  </dimensions>
  <measureGroups count="1">
    <measureGroup name="Employe_Performance_dataset" caption="Employe_Performance_dataset"/>
  </measureGroups>
  <maps count="1">
    <map measureGroup="0" dimension="0"/>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sama Muharram" refreshedDate="45658.969948032405" backgroundQuery="1" createdVersion="8" refreshedVersion="8" minRefreshableVersion="3" recordCount="0" supportSubquery="1" supportAdvancedDrill="1" xr:uid="{C9CD9232-EB45-46D4-BC5B-1FE62D1E65C9}">
  <cacheSource type="external" connectionId="2"/>
  <cacheFields count="4">
    <cacheField name="[Employe_Performance_dataset].[Name].[Name]" caption="Name" numFmtId="0" hierarchy="1" level="1">
      <sharedItems count="11">
        <s v="Brenda Mendoza"/>
        <s v="Erin Phillips"/>
        <s v="Gabriela Wilson"/>
        <s v="James Anderson"/>
        <s v="Jessica Garcia"/>
        <s v="John Butler"/>
        <s v="Joseph Smith"/>
        <s v="Matthew Roberts"/>
        <s v="Michael Lee"/>
        <s v="Nicholas Edwards"/>
        <s v="Phillip Nelson"/>
      </sharedItems>
    </cacheField>
    <cacheField name="[Measures].[TotalSalary]" caption="TotalSalary" numFmtId="0" hierarchy="20" level="32767"/>
    <cacheField name="[Employe_Performance_dataset].[Performance Score].[Performance Score]" caption="Performance Score" numFmtId="0" hierarchy="7" level="1">
      <sharedItems containsString="0" containsBlank="1" containsNumber="1" containsInteger="1" minValue="1" maxValue="3" count="4">
        <n v="1"/>
        <n v="2"/>
        <m/>
        <n v="3"/>
      </sharedItems>
    </cacheField>
    <cacheField name="[Employe_Performance_dataset].[Department].[Department]" caption="Department" numFmtId="0" hierarchy="4" level="1">
      <sharedItems containsSemiMixedTypes="0" containsNonDate="0" containsString="0"/>
    </cacheField>
  </cacheFields>
  <cacheHierarchies count="27">
    <cacheHierarchy uniqueName="[Employe_Performance_dataset].[ID]" caption="ID" attribute="1" defaultMemberUniqueName="[Employe_Performance_dataset].[ID].[All]" allUniqueName="[Employe_Performance_dataset].[ID].[All]" dimensionUniqueName="[Employe_Performance_dataset]" displayFolder="" count="0" memberValueDatatype="20" unbalanced="0"/>
    <cacheHierarchy uniqueName="[Employe_Performance_dataset].[Name]" caption="Name" attribute="1" defaultMemberUniqueName="[Employe_Performance_dataset].[Name].[All]" allUniqueName="[Employe_Performance_dataset].[Name].[All]" dimensionUniqueName="[Employe_Performance_dataset]" displayFolder="" count="2" memberValueDatatype="130" unbalanced="0">
      <fieldsUsage count="2">
        <fieldUsage x="-1"/>
        <fieldUsage x="0"/>
      </fieldsUsage>
    </cacheHierarchy>
    <cacheHierarchy uniqueName="[Employe_Performance_dataset].[Age]" caption="Age" attribute="1" defaultMemberUniqueName="[Employe_Performance_dataset].[Age].[All]" allUniqueName="[Employe_Performance_dataset].[Age].[All]" dimensionUniqueName="[Employe_Performance_dataset]" displayFolder="" count="0" memberValueDatatype="20" unbalanced="0"/>
    <cacheHierarchy uniqueName="[Employe_Performance_dataset].[Gender]" caption="Gender" attribute="1" defaultMemberUniqueName="[Employe_Performance_dataset].[Gender].[All]" allUniqueName="[Employe_Performance_dataset].[Gender].[All]" dimensionUniqueName="[Employe_Performance_dataset]" displayFolder="" count="0" memberValueDatatype="130" unbalanced="0"/>
    <cacheHierarchy uniqueName="[Employe_Performance_dataset].[Department]" caption="Department" attribute="1" defaultMemberUniqueName="[Employe_Performance_dataset].[Department].[All]" allUniqueName="[Employe_Performance_dataset].[Department].[All]" dimensionUniqueName="[Employe_Performance_dataset]" displayFolder="" count="2" memberValueDatatype="130" unbalanced="0">
      <fieldsUsage count="2">
        <fieldUsage x="-1"/>
        <fieldUsage x="3"/>
      </fieldsUsage>
    </cacheHierarchy>
    <cacheHierarchy uniqueName="[Employe_Performance_dataset].[Salary]" caption="Salary" attribute="1" defaultMemberUniqueName="[Employe_Performance_dataset].[Salary].[All]" allUniqueName="[Employe_Performance_dataset].[Salary].[All]" dimensionUniqueName="[Employe_Performance_dataset]" displayFolder="" count="0" memberValueDatatype="20" unbalanced="0"/>
    <cacheHierarchy uniqueName="[Employe_Performance_dataset].[Joining Date]" caption="Joining Date" attribute="1" time="1" defaultMemberUniqueName="[Employe_Performance_dataset].[Joining Date].[All]" allUniqueName="[Employe_Performance_dataset].[Joining Date].[All]" dimensionUniqueName="[Employe_Performance_dataset]" displayFolder="" count="0" memberValueDatatype="7" unbalanced="0"/>
    <cacheHierarchy uniqueName="[Employe_Performance_dataset].[Performance Score]" caption="Performance Score" attribute="1" defaultMemberUniqueName="[Employe_Performance_dataset].[Performance Score].[All]" allUniqueName="[Employe_Performance_dataset].[Performance Score].[All]" dimensionUniqueName="[Employe_Performance_dataset]" displayFolder="" count="2" memberValueDatatype="20" unbalanced="0">
      <fieldsUsage count="2">
        <fieldUsage x="-1"/>
        <fieldUsage x="2"/>
      </fieldsUsage>
    </cacheHierarchy>
    <cacheHierarchy uniqueName="[Employe_Performance_dataset].[Experience]" caption="Experience" attribute="1" defaultMemberUniqueName="[Employe_Performance_dataset].[Experience].[All]" allUniqueName="[Employe_Performance_dataset].[Experience].[All]" dimensionUniqueName="[Employe_Performance_dataset]" displayFolder="" count="0" memberValueDatatype="20" unbalanced="0"/>
    <cacheHierarchy uniqueName="[Employe_Performance_dataset].[Location]" caption="Location" attribute="1" defaultMemberUniqueName="[Employe_Performance_dataset].[Location].[All]" allUniqueName="[Employe_Performance_dataset].[Location].[All]" dimensionUniqueName="[Employe_Performance_dataset]" displayFolder="" count="0" memberValueDatatype="130" unbalanced="0"/>
    <cacheHierarchy uniqueName="[Employe_Performance_dataset].[Session]" caption="Session" attribute="1" defaultMemberUniqueName="[Employe_Performance_dataset].[Session].[All]" allUniqueName="[Employe_Performance_dataset].[Session].[All]" dimensionUniqueName="[Employe_Performance_dataset]" displayFolder="" count="0" memberValueDatatype="130" unbalanced="0"/>
    <cacheHierarchy uniqueName="[Employe_Performance_dataset].[WorkDuration]" caption="WorkDuration" attribute="1" defaultMemberUniqueName="[Employe_Performance_dataset].[WorkDuration].[All]" allUniqueName="[Employe_Performance_dataset].[WorkDuration].[All]" dimensionUniqueName="[Employe_Performance_dataset]" displayFolder="" count="0" memberValueDatatype="20" unbalanced="0"/>
    <cacheHierarchy uniqueName="[Measures].[Sum of Age]" caption="Sum of Age" measure="1" displayFolder="" measureGroup="Employe_Performance_dataset" count="0">
      <extLst>
        <ext xmlns:x15="http://schemas.microsoft.com/office/spreadsheetml/2010/11/main" uri="{B97F6D7D-B522-45F9-BDA1-12C45D357490}">
          <x15:cacheHierarchy aggregatedColumn="2"/>
        </ext>
      </extLst>
    </cacheHierarchy>
    <cacheHierarchy uniqueName="[Measures].[Max of Age]" caption="Max of Age" measure="1" displayFolder="" measureGroup="Employe_Performance_dataset" count="0">
      <extLst>
        <ext xmlns:x15="http://schemas.microsoft.com/office/spreadsheetml/2010/11/main" uri="{B97F6D7D-B522-45F9-BDA1-12C45D357490}">
          <x15:cacheHierarchy aggregatedColumn="2"/>
        </ext>
      </extLst>
    </cacheHierarchy>
    <cacheHierarchy uniqueName="[Measures].[Count of Joining Date]" caption="Count of Joining Date" measure="1" displayFolder="" measureGroup="Employe_Performance_dataset" count="0">
      <extLst>
        <ext xmlns:x15="http://schemas.microsoft.com/office/spreadsheetml/2010/11/main" uri="{B97F6D7D-B522-45F9-BDA1-12C45D357490}">
          <x15:cacheHierarchy aggregatedColumn="6"/>
        </ext>
      </extLst>
    </cacheHierarchy>
    <cacheHierarchy uniqueName="[Measures].[Sum of WorkDuration]" caption="Sum of WorkDuration" measure="1" displayFolder="" measureGroup="Employe_Performance_dataset" count="0">
      <extLst>
        <ext xmlns:x15="http://schemas.microsoft.com/office/spreadsheetml/2010/11/main" uri="{B97F6D7D-B522-45F9-BDA1-12C45D357490}">
          <x15:cacheHierarchy aggregatedColumn="11"/>
        </ext>
      </extLst>
    </cacheHierarchy>
    <cacheHierarchy uniqueName="[Measures].[Max of WorkDuration]" caption="Max of WorkDuration" measure="1" displayFolder="" measureGroup="Employe_Performance_dataset" count="0">
      <extLst>
        <ext xmlns:x15="http://schemas.microsoft.com/office/spreadsheetml/2010/11/main" uri="{B97F6D7D-B522-45F9-BDA1-12C45D357490}">
          <x15:cacheHierarchy aggregatedColumn="11"/>
        </ext>
      </extLst>
    </cacheHierarchy>
    <cacheHierarchy uniqueName="[Measures].[Count of Name]" caption="Count of Name" measure="1" displayFolder="" measureGroup="Employe_Performance_dataset" count="0">
      <extLst>
        <ext xmlns:x15="http://schemas.microsoft.com/office/spreadsheetml/2010/11/main" uri="{B97F6D7D-B522-45F9-BDA1-12C45D357490}">
          <x15:cacheHierarchy aggregatedColumn="1"/>
        </ext>
      </extLst>
    </cacheHierarchy>
    <cacheHierarchy uniqueName="[Measures].[Sum of Salary]" caption="Sum of Salary" measure="1" displayFolder="" measureGroup="Employe_Performance_dataset" count="0">
      <extLst>
        <ext xmlns:x15="http://schemas.microsoft.com/office/spreadsheetml/2010/11/main" uri="{B97F6D7D-B522-45F9-BDA1-12C45D357490}">
          <x15:cacheHierarchy aggregatedColumn="5"/>
        </ext>
      </extLst>
    </cacheHierarchy>
    <cacheHierarchy uniqueName="[Measures].[Sum of Experience]" caption="Sum of Experience" measure="1" displayFolder="" measureGroup="Employe_Performance_dataset" count="0">
      <extLst>
        <ext xmlns:x15="http://schemas.microsoft.com/office/spreadsheetml/2010/11/main" uri="{B97F6D7D-B522-45F9-BDA1-12C45D357490}">
          <x15:cacheHierarchy aggregatedColumn="8"/>
        </ext>
      </extLst>
    </cacheHierarchy>
    <cacheHierarchy uniqueName="[Measures].[TotalSalary]" caption="TotalSalary" measure="1" displayFolder="" measureGroup="Employe_Performance_dataset" count="0" oneField="1">
      <fieldsUsage count="1">
        <fieldUsage x="1"/>
      </fieldsUsage>
    </cacheHierarchy>
    <cacheHierarchy uniqueName="[Measures].[# TotalEmployees]" caption="# TotalEmployees" measure="1" displayFolder="" measureGroup="Employe_Performance_dataset" count="0"/>
    <cacheHierarchy uniqueName="[Measures].[AvgSalary]" caption="AvgSalary" measure="1" displayFolder="" measureGroup="Employe_Performance_dataset" count="0"/>
    <cacheHierarchy uniqueName="[Measures].[Employee&gt;50]" caption="Employee&gt;50" measure="1" displayFolder="" measureGroup="Employe_Performance_dataset" count="0"/>
    <cacheHierarchy uniqueName="[Measures].[FeEmployee]" caption="FeEmployee" measure="1" displayFolder="" measureGroup="Employe_Performance_dataset" count="0"/>
    <cacheHierarchy uniqueName="[Measures].[__XL_Count Employe_Performance_dataset]" caption="__XL_Count Employe_Performance_dataset" measure="1" displayFolder="" measureGroup="Employe_Performance_dataset" count="0" hidden="1"/>
    <cacheHierarchy uniqueName="[Measures].[__No measures defined]" caption="__No measures defined" measure="1" displayFolder="" count="0" hidden="1"/>
  </cacheHierarchies>
  <kpis count="0"/>
  <dimensions count="2">
    <dimension name="Employe_Performance_dataset" uniqueName="[Employe_Performance_dataset]" caption="Employe_Performance_dataset"/>
    <dimension measure="1" name="Measures" uniqueName="[Measures]" caption="Measures"/>
  </dimensions>
  <measureGroups count="1">
    <measureGroup name="Employe_Performance_dataset" caption="Employe_Performance_dataset"/>
  </measureGroups>
  <maps count="1">
    <map measureGroup="0" dimension="0"/>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sama Muharram" refreshedDate="45658.969900925928" backgroundQuery="1" createdVersion="3" refreshedVersion="8" minRefreshableVersion="3" recordCount="0" supportSubquery="1" supportAdvancedDrill="1" xr:uid="{0CD5034E-1F5F-4F9E-BEEA-D0C566771502}">
  <cacheSource type="external" connectionId="2">
    <extLst>
      <ext xmlns:x14="http://schemas.microsoft.com/office/spreadsheetml/2009/9/main" uri="{F057638F-6D5F-4e77-A914-E7F072B9BCA8}">
        <x14:sourceConnection name="ThisWorkbookDataModel"/>
      </ext>
    </extLst>
  </cacheSource>
  <cacheFields count="0"/>
  <cacheHierarchies count="27">
    <cacheHierarchy uniqueName="[Employe_Performance_dataset].[ID]" caption="ID" attribute="1" defaultMemberUniqueName="[Employe_Performance_dataset].[ID].[All]" allUniqueName="[Employe_Performance_dataset].[ID].[All]" dimensionUniqueName="[Employe_Performance_dataset]" displayFolder="" count="0" memberValueDatatype="20" unbalanced="0"/>
    <cacheHierarchy uniqueName="[Employe_Performance_dataset].[Name]" caption="Name" attribute="1" defaultMemberUniqueName="[Employe_Performance_dataset].[Name].[All]" allUniqueName="[Employe_Performance_dataset].[Name].[All]" dimensionUniqueName="[Employe_Performance_dataset]" displayFolder="" count="0" memberValueDatatype="130" unbalanced="0"/>
    <cacheHierarchy uniqueName="[Employe_Performance_dataset].[Age]" caption="Age" attribute="1" defaultMemberUniqueName="[Employe_Performance_dataset].[Age].[All]" allUniqueName="[Employe_Performance_dataset].[Age].[All]" dimensionUniqueName="[Employe_Performance_dataset]" displayFolder="" count="0" memberValueDatatype="20" unbalanced="0"/>
    <cacheHierarchy uniqueName="[Employe_Performance_dataset].[Gender]" caption="Gender" attribute="1" defaultMemberUniqueName="[Employe_Performance_dataset].[Gender].[All]" allUniqueName="[Employe_Performance_dataset].[Gender].[All]" dimensionUniqueName="[Employe_Performance_dataset]" displayFolder="" count="0" memberValueDatatype="130" unbalanced="0"/>
    <cacheHierarchy uniqueName="[Employe_Performance_dataset].[Department]" caption="Department" attribute="1" defaultMemberUniqueName="[Employe_Performance_dataset].[Department].[All]" allUniqueName="[Employe_Performance_dataset].[Department].[All]" dimensionUniqueName="[Employe_Performance_dataset]" displayFolder="" count="2" memberValueDatatype="130" unbalanced="0"/>
    <cacheHierarchy uniqueName="[Employe_Performance_dataset].[Salary]" caption="Salary" attribute="1" defaultMemberUniqueName="[Employe_Performance_dataset].[Salary].[All]" allUniqueName="[Employe_Performance_dataset].[Salary].[All]" dimensionUniqueName="[Employe_Performance_dataset]" displayFolder="" count="0" memberValueDatatype="20" unbalanced="0"/>
    <cacheHierarchy uniqueName="[Employe_Performance_dataset].[Joining Date]" caption="Joining Date" attribute="1" time="1" defaultMemberUniqueName="[Employe_Performance_dataset].[Joining Date].[All]" allUniqueName="[Employe_Performance_dataset].[Joining Date].[All]" dimensionUniqueName="[Employe_Performance_dataset]" displayFolder="" count="0" memberValueDatatype="7" unbalanced="0"/>
    <cacheHierarchy uniqueName="[Employe_Performance_dataset].[Performance Score]" caption="Performance Score" attribute="1" defaultMemberUniqueName="[Employe_Performance_dataset].[Performance Score].[All]" allUniqueName="[Employe_Performance_dataset].[Performance Score].[All]" dimensionUniqueName="[Employe_Performance_dataset]" displayFolder="" count="2" memberValueDatatype="20" unbalanced="0"/>
    <cacheHierarchy uniqueName="[Employe_Performance_dataset].[Experience]" caption="Experience" attribute="1" defaultMemberUniqueName="[Employe_Performance_dataset].[Experience].[All]" allUniqueName="[Employe_Performance_dataset].[Experience].[All]" dimensionUniqueName="[Employe_Performance_dataset]" displayFolder="" count="2" memberValueDatatype="20" unbalanced="0"/>
    <cacheHierarchy uniqueName="[Employe_Performance_dataset].[Location]" caption="Location" attribute="1" defaultMemberUniqueName="[Employe_Performance_dataset].[Location].[All]" allUniqueName="[Employe_Performance_dataset].[Location].[All]" dimensionUniqueName="[Employe_Performance_dataset]" displayFolder="" count="2" memberValueDatatype="130" unbalanced="0"/>
    <cacheHierarchy uniqueName="[Employe_Performance_dataset].[Session]" caption="Session" attribute="1" defaultMemberUniqueName="[Employe_Performance_dataset].[Session].[All]" allUniqueName="[Employe_Performance_dataset].[Session].[All]" dimensionUniqueName="[Employe_Performance_dataset]" displayFolder="" count="0" memberValueDatatype="130" unbalanced="0"/>
    <cacheHierarchy uniqueName="[Employe_Performance_dataset].[WorkDuration]" caption="WorkDuration" attribute="1" defaultMemberUniqueName="[Employe_Performance_dataset].[WorkDuration].[All]" allUniqueName="[Employe_Performance_dataset].[WorkDuration].[All]" dimensionUniqueName="[Employe_Performance_dataset]" displayFolder="" count="0" memberValueDatatype="20" unbalanced="0"/>
    <cacheHierarchy uniqueName="[Measures].[Sum of Age]" caption="Sum of Age" measure="1" displayFolder="" measureGroup="Employe_Performance_dataset" count="0">
      <extLst>
        <ext xmlns:x15="http://schemas.microsoft.com/office/spreadsheetml/2010/11/main" uri="{B97F6D7D-B522-45F9-BDA1-12C45D357490}">
          <x15:cacheHierarchy aggregatedColumn="2"/>
        </ext>
      </extLst>
    </cacheHierarchy>
    <cacheHierarchy uniqueName="[Measures].[Max of Age]" caption="Max of Age" measure="1" displayFolder="" measureGroup="Employe_Performance_dataset" count="0">
      <extLst>
        <ext xmlns:x15="http://schemas.microsoft.com/office/spreadsheetml/2010/11/main" uri="{B97F6D7D-B522-45F9-BDA1-12C45D357490}">
          <x15:cacheHierarchy aggregatedColumn="2"/>
        </ext>
      </extLst>
    </cacheHierarchy>
    <cacheHierarchy uniqueName="[Measures].[Count of Joining Date]" caption="Count of Joining Date" measure="1" displayFolder="" measureGroup="Employe_Performance_dataset" count="0">
      <extLst>
        <ext xmlns:x15="http://schemas.microsoft.com/office/spreadsheetml/2010/11/main" uri="{B97F6D7D-B522-45F9-BDA1-12C45D357490}">
          <x15:cacheHierarchy aggregatedColumn="6"/>
        </ext>
      </extLst>
    </cacheHierarchy>
    <cacheHierarchy uniqueName="[Measures].[Sum of WorkDuration]" caption="Sum of WorkDuration" measure="1" displayFolder="" measureGroup="Employe_Performance_dataset" count="0">
      <extLst>
        <ext xmlns:x15="http://schemas.microsoft.com/office/spreadsheetml/2010/11/main" uri="{B97F6D7D-B522-45F9-BDA1-12C45D357490}">
          <x15:cacheHierarchy aggregatedColumn="11"/>
        </ext>
      </extLst>
    </cacheHierarchy>
    <cacheHierarchy uniqueName="[Measures].[Max of WorkDuration]" caption="Max of WorkDuration" measure="1" displayFolder="" measureGroup="Employe_Performance_dataset" count="0">
      <extLst>
        <ext xmlns:x15="http://schemas.microsoft.com/office/spreadsheetml/2010/11/main" uri="{B97F6D7D-B522-45F9-BDA1-12C45D357490}">
          <x15:cacheHierarchy aggregatedColumn="11"/>
        </ext>
      </extLst>
    </cacheHierarchy>
    <cacheHierarchy uniqueName="[Measures].[Count of Name]" caption="Count of Name" measure="1" displayFolder="" measureGroup="Employe_Performance_dataset" count="0">
      <extLst>
        <ext xmlns:x15="http://schemas.microsoft.com/office/spreadsheetml/2010/11/main" uri="{B97F6D7D-B522-45F9-BDA1-12C45D357490}">
          <x15:cacheHierarchy aggregatedColumn="1"/>
        </ext>
      </extLst>
    </cacheHierarchy>
    <cacheHierarchy uniqueName="[Measures].[Sum of Salary]" caption="Sum of Salary" measure="1" displayFolder="" measureGroup="Employe_Performance_dataset" count="0">
      <extLst>
        <ext xmlns:x15="http://schemas.microsoft.com/office/spreadsheetml/2010/11/main" uri="{B97F6D7D-B522-45F9-BDA1-12C45D357490}">
          <x15:cacheHierarchy aggregatedColumn="5"/>
        </ext>
      </extLst>
    </cacheHierarchy>
    <cacheHierarchy uniqueName="[Measures].[Sum of Experience]" caption="Sum of Experience" measure="1" displayFolder="" measureGroup="Employe_Performance_dataset" count="0">
      <extLst>
        <ext xmlns:x15="http://schemas.microsoft.com/office/spreadsheetml/2010/11/main" uri="{B97F6D7D-B522-45F9-BDA1-12C45D357490}">
          <x15:cacheHierarchy aggregatedColumn="8"/>
        </ext>
      </extLst>
    </cacheHierarchy>
    <cacheHierarchy uniqueName="[Measures].[TotalSalary]" caption="TotalSalary" measure="1" displayFolder="" measureGroup="Employe_Performance_dataset" count="0"/>
    <cacheHierarchy uniqueName="[Measures].[# TotalEmployees]" caption="# TotalEmployees" measure="1" displayFolder="" measureGroup="Employe_Performance_dataset" count="0"/>
    <cacheHierarchy uniqueName="[Measures].[AvgSalary]" caption="AvgSalary" measure="1" displayFolder="" measureGroup="Employe_Performance_dataset" count="0"/>
    <cacheHierarchy uniqueName="[Measures].[Employee&gt;50]" caption="Employee&gt;50" measure="1" displayFolder="" measureGroup="Employe_Performance_dataset" count="0"/>
    <cacheHierarchy uniqueName="[Measures].[FeEmployee]" caption="FeEmployee" measure="1" displayFolder="" measureGroup="Employe_Performance_dataset" count="0"/>
    <cacheHierarchy uniqueName="[Measures].[__XL_Count Employe_Performance_dataset]" caption="__XL_Count Employe_Performance_dataset" measure="1" displayFolder="" measureGroup="Employe_Performance_dataset"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121693371"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D1683E9-1CA1-404A-B527-3FACBB4AB2DA}" name="TotalEmployees" cacheId="22" applyNumberFormats="0" applyBorderFormats="0" applyFontFormats="0" applyPatternFormats="0" applyAlignmentFormats="0" applyWidthHeightFormats="1" dataCaption="Values" tag="94033685-7db6-4b0b-9d4b-7aeedea80056" updatedVersion="8" minRefreshableVersion="3" useAutoFormatting="1" subtotalHiddenItems="1" itemPrintTitles="1" createdVersion="8" indent="0" outline="1" outlineData="1" multipleFieldFilters="0">
  <location ref="A10:A11" firstHeaderRow="1" firstDataRow="1" firstDataCol="0"/>
  <pivotFields count="5">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2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_Performance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535EBBE-9D88-4F4E-BABF-6DA8DD7E4CE9}" name="FeEmployee" cacheId="49" applyNumberFormats="0" applyBorderFormats="0" applyFontFormats="0" applyPatternFormats="0" applyAlignmentFormats="0" applyWidthHeightFormats="1" dataCaption="Values" tag="250f4c73-3dfa-43e2-a83b-ce9b89684eaf" updatedVersion="8" minRefreshableVersion="3" useAutoFormatting="1" itemPrintTitles="1" createdVersion="8" indent="0" outline="1" outlineData="1" multipleFieldFilters="0">
  <location ref="A25:A26"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_Performance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13954AF-40EA-4579-B2D7-780685100FA7}" name="TotalSalary" cacheId="25" applyNumberFormats="0" applyBorderFormats="0" applyFontFormats="0" applyPatternFormats="0" applyAlignmentFormats="0" applyWidthHeightFormats="1" dataCaption="Values" tag="c1300c63-b561-4343-b347-87339be302c3" updatedVersion="8" minRefreshableVersion="3" useAutoFormatting="1" subtotalHiddenItems="1" itemPrintTitles="1" createdVersion="8" indent="0" outline="1" outlineData="1" multipleFieldFilters="0" chartFormat="10">
  <location ref="A5:A6" firstHeaderRow="1" firstDataRow="1" firstDataCol="0"/>
  <pivotFields count="5">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8" format="3">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9" format="5">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_Performance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0BCD14D-52ED-41BC-ABB3-2839E9B5B1BB}" name="&gt;SalesSalaryByPerformance" cacheId="58" applyNumberFormats="0" applyBorderFormats="0" applyFontFormats="0" applyPatternFormats="0" applyAlignmentFormats="0" applyWidthHeightFormats="1" dataCaption="Values" tag="40617a7d-f4e0-40cc-85d1-bd99cd769063" updatedVersion="8" minRefreshableVersion="3" useAutoFormatting="1" itemPrintTitles="1" createdVersion="8" indent="0" outline="1" outlineData="1" multipleFieldFilters="0">
  <location ref="AX5:AY9" firstHeaderRow="1" firstDataRow="1" firstDataCol="1" rowPageCount="2" colPageCount="1"/>
  <pivotFields count="4">
    <pivotField axis="axisRow" allDrilled="1" subtotalTop="0" showAll="0" measureFilter="1"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xis="axisPage" allDrilled="1" subtotalTop="0" showAll="0" dataSourceSort="1" defaultSubtotal="0" defaultAttributeDrillState="1"/>
    <pivotField axis="axisPage" allDrilled="1" subtotalTop="0" showAll="0" dataSourceSort="1" defaultSubtotal="0" defaultAttributeDrillState="1"/>
  </pivotFields>
  <rowFields count="1">
    <field x="0"/>
  </rowFields>
  <rowItems count="4">
    <i>
      <x v="2"/>
    </i>
    <i>
      <x/>
    </i>
    <i>
      <x v="1"/>
    </i>
    <i t="grand">
      <x/>
    </i>
  </rowItems>
  <colItems count="1">
    <i/>
  </colItems>
  <pageFields count="2">
    <pageField fld="2" hier="7" name="[Employe_Performance_dataset].[Performance Score].&amp;[5]" cap="5"/>
    <pageField fld="3" hier="4" name="[Employe_Performance_dataset].[Department].&amp;[Sales]" cap="Sales"/>
  </pageFields>
  <dataFields count="1">
    <dataField fld="1" subtotal="count" baseField="0" baseItem="0"/>
  </dataFields>
  <pivotHierarchies count="27">
    <pivotHierarchy dragToData="1"/>
    <pivotHierarchy dragToData="1"/>
    <pivotHierarchy dragToData="1"/>
    <pivotHierarchy dragToData="1"/>
    <pivotHierarchy multipleItemSelectionAllowed="1" dragToData="1">
      <members count="1" level="1">
        <member name="[Employe_Performance_dataset].[Department].&amp;[Sales]"/>
      </members>
    </pivotHierarchy>
    <pivotHierarchy dragToData="1"/>
    <pivotHierarchy dragToData="1"/>
    <pivotHierarchy multipleItemSelectionAllowed="1" dragToData="1">
      <members count="1" level="1">
        <member name="[Employe_Performance_dataset].[Performance Score].&amp;[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valueGreaterThanOrEqual" id="2" iMeasureHier="20">
      <autoFilter ref="A1">
        <filterColumn colId="0">
          <customFilters>
            <customFilter operator="greaterThanOrEqual" val="8000"/>
          </customFilters>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_Performance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FF553A8-4C3B-4C28-B4D7-24204DBAF5C7}" name="SalaryBranch" cacheId="43" applyNumberFormats="0" applyBorderFormats="0" applyFontFormats="0" applyPatternFormats="0" applyAlignmentFormats="0" applyWidthHeightFormats="1" dataCaption="Values" tag="844fb5b4-2da9-43b3-9969-836f103f198e" updatedVersion="8" minRefreshableVersion="3" useAutoFormatting="1" itemPrintTitles="1" createdVersion="8" indent="0" outline="1" outlineData="1" multipleFieldFilters="0" chartFormat="14">
  <location ref="T5:V9" firstHeaderRow="0" firstDataRow="1" firstDataCol="1"/>
  <pivotFields count="3">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0"/>
  </rowFields>
  <rowItems count="4">
    <i>
      <x v="1"/>
    </i>
    <i>
      <x v="2"/>
    </i>
    <i>
      <x/>
    </i>
    <i t="grand">
      <x/>
    </i>
  </rowItems>
  <colFields count="1">
    <field x="-2"/>
  </colFields>
  <colItems count="2">
    <i>
      <x/>
    </i>
    <i i="1">
      <x v="1"/>
    </i>
  </colItems>
  <dataFields count="2">
    <dataField fld="2" subtotal="count" baseField="0" baseItem="0"/>
    <dataField name="Count of Name" fld="1" subtotal="count" baseField="0" baseItem="0"/>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_Performance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B52BD84-8BD7-41D8-94B9-77CC6D505D63}" name="Oldest&amp;Scores" cacheId="55" applyNumberFormats="0" applyBorderFormats="0" applyFontFormats="0" applyPatternFormats="0" applyAlignmentFormats="0" applyWidthHeightFormats="1" dataCaption="Values" tag="275e7db5-7f02-4ba4-a933-eac651e9b45f" updatedVersion="8" minRefreshableVersion="3" useAutoFormatting="1" subtotalHiddenItems="1" rowGrandTotals="0" colGrandTotals="0" itemPrintTitles="1" createdVersion="8" indent="0" outline="1" outlineData="1" multipleFieldFilters="0">
  <location ref="J5:K16" firstHeaderRow="1" firstDataRow="1" firstDataCol="1" rowPageCount="1" colPageCount="1"/>
  <pivotFields count="3">
    <pivotField axis="axisRow" allDrilled="1" subtotalTop="0" showAll="0" measureFilter="1" sortType="descending" defaultSubtotal="0" defaultAttributeDrillState="1">
      <items count="11">
        <item x="0"/>
        <item x="1"/>
        <item x="2"/>
        <item x="3"/>
        <item x="4"/>
        <item x="5"/>
        <item x="6"/>
        <item x="7"/>
        <item x="8"/>
        <item x="9"/>
        <item x="10"/>
      </items>
      <autoSortScope>
        <pivotArea dataOnly="0" outline="0" fieldPosition="0">
          <references count="1">
            <reference field="4294967294" count="1" selected="0">
              <x v="0"/>
            </reference>
          </references>
        </pivotArea>
      </autoSortScope>
    </pivotField>
    <pivotField dataField="1" subtotalTop="0" showAll="0" defaultSubtotal="0"/>
    <pivotField axis="axisPage" allDrilled="1" subtotalTop="0" showAll="0" dataSourceSort="1" defaultSubtotal="0" defaultAttributeDrillState="1"/>
  </pivotFields>
  <rowFields count="1">
    <field x="0"/>
  </rowFields>
  <rowItems count="11">
    <i>
      <x/>
    </i>
    <i>
      <x v="4"/>
    </i>
    <i>
      <x v="9"/>
    </i>
    <i>
      <x v="3"/>
    </i>
    <i>
      <x v="5"/>
    </i>
    <i>
      <x v="8"/>
    </i>
    <i>
      <x v="10"/>
    </i>
    <i>
      <x v="2"/>
    </i>
    <i>
      <x v="6"/>
    </i>
    <i>
      <x v="1"/>
    </i>
    <i>
      <x v="7"/>
    </i>
  </rowItems>
  <colItems count="1">
    <i/>
  </colItems>
  <pageFields count="1">
    <pageField fld="2" hier="7" name="[Employe_Performance_dataset].[Performance Score].&amp;[5]" cap="5"/>
  </pageFields>
  <dataFields count="1">
    <dataField name="Max of WorkDuration" fld="1" subtotal="max" baseField="0" baseItem="0"/>
  </dataFields>
  <pivotHierarchies count="27">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Employe_Performance_dataset].[Performance Score].&amp;[5]"/>
      </members>
    </pivotHierarchy>
    <pivotHierarchy dragToData="1"/>
    <pivotHierarchy dragToData="1"/>
    <pivotHierarchy dragToData="1"/>
    <pivotHierarchy dragToData="1"/>
    <pivotHierarchy dragToData="1"/>
    <pivotHierarchy dragToData="1" caption="Max of Age"/>
    <pivotHierarchy dragToData="1"/>
    <pivotHierarchy dragToData="1"/>
    <pivotHierarchy dragToData="1" caption="Max of WorkDuration"/>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valueGreaterThanOrEqual" id="6" iMeasureHier="16">
      <autoFilter ref="A1">
        <filterColumn colId="0">
          <customFilters>
            <customFilter operator="greaterThanOrEqual" val="9"/>
          </customFilters>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_Performance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74A23A0-6B8A-4FA3-BE03-FE9390E06CFE}" name="&lt;SalesSalaryByPerformance" cacheId="61" applyNumberFormats="0" applyBorderFormats="0" applyFontFormats="0" applyPatternFormats="0" applyAlignmentFormats="0" applyWidthHeightFormats="1" dataCaption="Values" tag="02518dc1-bfb2-4ccb-9dea-ae819a5fbb42" updatedVersion="8" minRefreshableVersion="3" useAutoFormatting="1" itemPrintTitles="1" createdVersion="8" indent="0" outline="1" outlineData="1" multipleFieldFilters="0">
  <location ref="BH5:BI17" firstHeaderRow="1" firstDataRow="1" firstDataCol="1" rowPageCount="2" colPageCount="1"/>
  <pivotFields count="4">
    <pivotField axis="axisRow" allDrilled="1" subtotalTop="0" showAll="0" measureFilter="1" sortType="descending" defaultSubtotal="0" defaultAttributeDrillState="1">
      <items count="11">
        <item x="0"/>
        <item x="1"/>
        <item x="2"/>
        <item x="3"/>
        <item x="4"/>
        <item x="5"/>
        <item x="6"/>
        <item x="7"/>
        <item x="8"/>
        <item x="9"/>
        <item x="10"/>
      </items>
      <autoSortScope>
        <pivotArea dataOnly="0" outline="0" fieldPosition="0">
          <references count="1">
            <reference field="4294967294" count="1" selected="0">
              <x v="0"/>
            </reference>
          </references>
        </pivotArea>
      </autoSortScope>
    </pivotField>
    <pivotField dataField="1" subtotalTop="0" showAll="0" defaultSubtotal="0"/>
    <pivotField axis="axisPage" allDrilled="1" subtotalTop="0" showAll="0" dataSourceSort="1" defaultSubtotal="0" defaultAttributeDrillState="1">
      <items count="4">
        <item s="1" x="0"/>
        <item s="1" x="1"/>
        <item x="2"/>
        <item x="3"/>
      </items>
    </pivotField>
    <pivotField axis="axisPage" allDrilled="1" subtotalTop="0" showAll="0" dataSourceSort="1" defaultSubtotal="0" defaultAttributeDrillState="1"/>
  </pivotFields>
  <rowFields count="1">
    <field x="0"/>
  </rowFields>
  <rowItems count="12">
    <i>
      <x v="7"/>
    </i>
    <i>
      <x v="2"/>
    </i>
    <i>
      <x/>
    </i>
    <i>
      <x v="9"/>
    </i>
    <i>
      <x v="8"/>
    </i>
    <i>
      <x v="10"/>
    </i>
    <i>
      <x v="4"/>
    </i>
    <i>
      <x v="6"/>
    </i>
    <i>
      <x v="3"/>
    </i>
    <i>
      <x v="5"/>
    </i>
    <i>
      <x v="1"/>
    </i>
    <i t="grand">
      <x/>
    </i>
  </rowItems>
  <colItems count="1">
    <i/>
  </colItems>
  <pageFields count="2">
    <pageField fld="2" hier="7" name="[Employe_Performance_dataset].[Performance Score].&amp;[1]" cap="1"/>
    <pageField fld="3" hier="4" name="[Employe_Performance_dataset].[Department].&amp;[Sales]" cap="Sales"/>
  </pageFields>
  <dataFields count="1">
    <dataField fld="1" subtotal="count" baseField="0" baseItem="0"/>
  </dataFields>
  <pivotHierarchies count="27">
    <pivotHierarchy dragToData="1"/>
    <pivotHierarchy dragToData="1"/>
    <pivotHierarchy dragToData="1"/>
    <pivotHierarchy dragToData="1"/>
    <pivotHierarchy multipleItemSelectionAllowed="1" dragToData="1">
      <members count="1" level="1">
        <member name="[Employe_Performance_dataset].[Department].&amp;[Sales]"/>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valueGreaterThanOrEqual" id="1" iMeasureHier="20">
      <autoFilter ref="A1">
        <filterColumn colId="0">
          <customFilters>
            <customFilter operator="greaterThanOrEqual" val="8000"/>
          </customFilters>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_Performance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507614B-E061-4799-B1C1-96CC69BC466E}" name="Employee&gt;50" cacheId="52" applyNumberFormats="0" applyBorderFormats="0" applyFontFormats="0" applyPatternFormats="0" applyAlignmentFormats="0" applyWidthHeightFormats="1" dataCaption="Values" tag="fef966aa-abca-42c1-99c4-8d936936187b" updatedVersion="8" minRefreshableVersion="3" useAutoFormatting="1" itemPrintTitles="1" createdVersion="8" indent="0" outline="1" outlineData="1" multipleFieldFilters="0">
  <location ref="A20:A21"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_Performance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2CFAB1A-317D-460E-B000-FB815C2A1501}" name="SalaryByBranch" cacheId="3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4">
  <location ref="CC5:CD9" firstHeaderRow="1" firstDataRow="1" firstDataCol="1"/>
  <pivotFields count="5">
    <pivotField axis="axisRow" allDrilled="1" subtotalTop="0" showAll="0" sortType="descending" defaultSubtotal="0">
      <items count="3">
        <item x="0" e="0"/>
        <item x="1" e="0"/>
        <item x="2" e="0"/>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 allDrilled="1" subtotalTop="0" showAll="0" dataSourceSort="1" defaultSubtotal="0" defaultAttributeDrillState="1"/>
  </pivotFields>
  <rowFields count="2">
    <field x="0"/>
    <field x="2"/>
  </rowFields>
  <rowItems count="4">
    <i>
      <x v="1"/>
    </i>
    <i>
      <x v="2"/>
    </i>
    <i>
      <x/>
    </i>
    <i t="grand">
      <x/>
    </i>
  </rowItems>
  <colItems count="1">
    <i/>
  </colItems>
  <dataFields count="1">
    <dataField fld="1" subtotal="count" baseField="0" baseItem="0"/>
  </dataFields>
  <chartFormats count="8">
    <chartFormat chart="16" format="25" series="1">
      <pivotArea type="data" outline="0" fieldPosition="0">
        <references count="1">
          <reference field="4294967294" count="1" selected="0">
            <x v="0"/>
          </reference>
        </references>
      </pivotArea>
    </chartFormat>
    <chartFormat chart="16" format="26">
      <pivotArea type="data" outline="0" fieldPosition="0">
        <references count="2">
          <reference field="4294967294" count="1" selected="0">
            <x v="0"/>
          </reference>
          <reference field="0" count="1" selected="0">
            <x v="0"/>
          </reference>
        </references>
      </pivotArea>
    </chartFormat>
    <chartFormat chart="16" format="27">
      <pivotArea type="data" outline="0" fieldPosition="0">
        <references count="2">
          <reference field="4294967294" count="1" selected="0">
            <x v="0"/>
          </reference>
          <reference field="0" count="1" selected="0">
            <x v="1"/>
          </reference>
        </references>
      </pivotArea>
    </chartFormat>
    <chartFormat chart="16" format="28">
      <pivotArea type="data" outline="0" fieldPosition="0">
        <references count="2">
          <reference field="4294967294" count="1" selected="0">
            <x v="0"/>
          </reference>
          <reference field="0" count="1" selected="0">
            <x v="2"/>
          </reference>
        </references>
      </pivotArea>
    </chartFormat>
    <chartFormat chart="22" format="33" series="1">
      <pivotArea type="data" outline="0" fieldPosition="0">
        <references count="1">
          <reference field="4294967294" count="1" selected="0">
            <x v="0"/>
          </reference>
        </references>
      </pivotArea>
    </chartFormat>
    <chartFormat chart="22" format="34">
      <pivotArea type="data" outline="0" fieldPosition="0">
        <references count="2">
          <reference field="4294967294" count="1" selected="0">
            <x v="0"/>
          </reference>
          <reference field="0" count="1" selected="0">
            <x v="1"/>
          </reference>
        </references>
      </pivotArea>
    </chartFormat>
    <chartFormat chart="22" format="35">
      <pivotArea type="data" outline="0" fieldPosition="0">
        <references count="2">
          <reference field="4294967294" count="1" selected="0">
            <x v="0"/>
          </reference>
          <reference field="0" count="1" selected="0">
            <x v="2"/>
          </reference>
        </references>
      </pivotArea>
    </chartFormat>
    <chartFormat chart="22" format="36">
      <pivotArea type="data" outline="0" fieldPosition="0">
        <references count="2">
          <reference field="4294967294" count="1" selected="0">
            <x v="0"/>
          </reference>
          <reference field="0" count="1" selected="0">
            <x v="0"/>
          </reference>
        </references>
      </pivotArea>
    </chartFormat>
  </chartFormats>
  <pivotHierarchies count="2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9"/>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_Performance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C4D2910-97EB-4E83-9113-F391F5452128}" name="CountEmployeesPerSesion" cacheId="2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CM5:CN9" firstHeaderRow="1" firstDataRow="1" firstDataCol="1"/>
  <pivotFields count="7">
    <pivotField dataField="1" subtotalTop="0" showAll="0" defaultSubtotal="0"/>
    <pivotField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4">
    <i>
      <x v="1"/>
    </i>
    <i>
      <x v="2"/>
    </i>
    <i>
      <x/>
    </i>
    <i t="grand">
      <x/>
    </i>
  </rowItems>
  <colItems count="1">
    <i/>
  </colItems>
  <dataFields count="1">
    <dataField fld="0" subtotal="count" baseField="0" baseItem="0"/>
  </dataFields>
  <chartFormats count="2">
    <chartFormat chart="0" format="5"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_Performance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9DD1A78-E13F-4BA2-ADEE-3DB56290536B}" name="SalaryByDepartment" cacheId="46" applyNumberFormats="0" applyBorderFormats="0" applyFontFormats="0" applyPatternFormats="0" applyAlignmentFormats="0" applyWidthHeightFormats="1" dataCaption="Values" tag="91dc7aca-3162-430c-b85a-0d37145f5d22" updatedVersion="8" minRefreshableVersion="3" useAutoFormatting="1" itemPrintTitles="1" createdVersion="8" indent="0" outline="1" outlineData="1" multipleFieldFilters="0">
  <location ref="AD5:AF9" firstHeaderRow="0" firstDataRow="1" firstDataCol="1"/>
  <pivotFields count="3">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0"/>
  </rowFields>
  <rowItems count="4">
    <i>
      <x v="1"/>
    </i>
    <i>
      <x v="2"/>
    </i>
    <i>
      <x/>
    </i>
    <i t="grand">
      <x/>
    </i>
  </rowItems>
  <colFields count="1">
    <field x="-2"/>
  </colFields>
  <colItems count="2">
    <i>
      <x/>
    </i>
    <i i="1">
      <x v="1"/>
    </i>
  </colItems>
  <dataFields count="2">
    <dataField fld="2" subtotal="count" baseField="0" baseItem="0"/>
    <dataField name="Count of Name" fld="1" subtotal="count" baseField="0" baseItem="0"/>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_Performance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6D69EFE-6A3D-43EE-99BC-F5F2462DA10B}" name="EmPerSession" cacheId="40" applyNumberFormats="0" applyBorderFormats="0" applyFontFormats="0" applyPatternFormats="0" applyAlignmentFormats="0" applyWidthHeightFormats="1" dataCaption="Values" tag="b53d8c7d-3a04-4095-a673-7bd366e92b9e" updatedVersion="8" minRefreshableVersion="3" useAutoFormatting="1" itemPrintTitles="1" createdVersion="8" indent="0" outline="1" outlineData="1" multipleFieldFilters="0">
  <location ref="AN5:AO9" firstHeaderRow="1" firstDataRow="1" firstDataCol="1"/>
  <pivotFields count="3">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
    <i>
      <x/>
    </i>
    <i>
      <x v="2"/>
    </i>
    <i>
      <x v="1"/>
    </i>
    <i t="grand">
      <x/>
    </i>
  </rowItems>
  <colItems count="1">
    <i/>
  </colItems>
  <dataFields count="1">
    <dataField name="Count of Name" fld="1" subtotal="count" baseField="0" baseItem="0"/>
  </dataFields>
  <pivotHierarchies count="27">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Employe_Performance_dataset].[Experience].&amp;[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_Performance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C2B93B4-C72A-4F01-9A16-5793CBD897F7}" name="CountByGender" cacheId="3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7">
  <location ref="A32:B36" firstHeaderRow="1" firstDataRow="1" firstDataCol="1"/>
  <pivotFields count="4">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4">
    <i>
      <x/>
    </i>
    <i>
      <x v="1"/>
    </i>
    <i>
      <x v="2"/>
    </i>
    <i t="grand">
      <x/>
    </i>
  </rowItems>
  <colItems count="1">
    <i/>
  </colItems>
  <dataFields count="1">
    <dataField fld="0" subtotal="count" baseField="0" baseItem="0"/>
  </dataFields>
  <chartFormats count="2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 count="1" selected="0">
            <x v="0"/>
          </reference>
        </references>
      </pivotArea>
    </chartFormat>
    <chartFormat chart="2" format="7">
      <pivotArea type="data" outline="0" fieldPosition="0">
        <references count="2">
          <reference field="4294967294" count="1" selected="0">
            <x v="0"/>
          </reference>
          <reference field="1" count="1" selected="0">
            <x v="1"/>
          </reference>
        </references>
      </pivotArea>
    </chartFormat>
    <chartFormat chart="2" format="8">
      <pivotArea type="data" outline="0" fieldPosition="0">
        <references count="2">
          <reference field="4294967294" count="1" selected="0">
            <x v="0"/>
          </reference>
          <reference field="1" count="1" selected="0">
            <x v="2"/>
          </reference>
        </references>
      </pivotArea>
    </chartFormat>
    <chartFormat chart="3" format="9"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1" count="1" selected="0">
            <x v="0"/>
          </reference>
        </references>
      </pivotArea>
    </chartFormat>
    <chartFormat chart="3" format="11">
      <pivotArea type="data" outline="0" fieldPosition="0">
        <references count="2">
          <reference field="4294967294" count="1" selected="0">
            <x v="0"/>
          </reference>
          <reference field="1" count="1" selected="0">
            <x v="1"/>
          </reference>
        </references>
      </pivotArea>
    </chartFormat>
    <chartFormat chart="3" format="12">
      <pivotArea type="data" outline="0" fieldPosition="0">
        <references count="2">
          <reference field="4294967294" count="1" selected="0">
            <x v="0"/>
          </reference>
          <reference field="1" count="1" selected="0">
            <x v="2"/>
          </reference>
        </references>
      </pivotArea>
    </chartFormat>
    <chartFormat chart="10" format="9" series="1">
      <pivotArea type="data" outline="0" fieldPosition="0">
        <references count="1">
          <reference field="4294967294" count="1" selected="0">
            <x v="0"/>
          </reference>
        </references>
      </pivotArea>
    </chartFormat>
    <chartFormat chart="10" format="10">
      <pivotArea type="data" outline="0" fieldPosition="0">
        <references count="2">
          <reference field="4294967294" count="1" selected="0">
            <x v="0"/>
          </reference>
          <reference field="1" count="1" selected="0">
            <x v="0"/>
          </reference>
        </references>
      </pivotArea>
    </chartFormat>
    <chartFormat chart="10" format="11">
      <pivotArea type="data" outline="0" fieldPosition="0">
        <references count="2">
          <reference field="4294967294" count="1" selected="0">
            <x v="0"/>
          </reference>
          <reference field="1" count="1" selected="0">
            <x v="1"/>
          </reference>
        </references>
      </pivotArea>
    </chartFormat>
    <chartFormat chart="10" format="12">
      <pivotArea type="data" outline="0" fieldPosition="0">
        <references count="2">
          <reference field="4294967294" count="1" selected="0">
            <x v="0"/>
          </reference>
          <reference field="1" count="1" selected="0">
            <x v="2"/>
          </reference>
        </references>
      </pivotArea>
    </chartFormat>
    <chartFormat chart="11" format="13" series="1">
      <pivotArea type="data" outline="0" fieldPosition="0">
        <references count="1">
          <reference field="4294967294" count="1" selected="0">
            <x v="0"/>
          </reference>
        </references>
      </pivotArea>
    </chartFormat>
    <chartFormat chart="11" format="14">
      <pivotArea type="data" outline="0" fieldPosition="0">
        <references count="2">
          <reference field="4294967294" count="1" selected="0">
            <x v="0"/>
          </reference>
          <reference field="1" count="1" selected="0">
            <x v="0"/>
          </reference>
        </references>
      </pivotArea>
    </chartFormat>
    <chartFormat chart="11" format="15">
      <pivotArea type="data" outline="0" fieldPosition="0">
        <references count="2">
          <reference field="4294967294" count="1" selected="0">
            <x v="0"/>
          </reference>
          <reference field="1" count="1" selected="0">
            <x v="1"/>
          </reference>
        </references>
      </pivotArea>
    </chartFormat>
    <chartFormat chart="11" format="16">
      <pivotArea type="data" outline="0" fieldPosition="0">
        <references count="2">
          <reference field="4294967294" count="1" selected="0">
            <x v="0"/>
          </reference>
          <reference field="1" count="1" selected="0">
            <x v="2"/>
          </reference>
        </references>
      </pivotArea>
    </chartFormat>
    <chartFormat chart="12" format="17" series="1">
      <pivotArea type="data" outline="0" fieldPosition="0">
        <references count="1">
          <reference field="4294967294" count="1" selected="0">
            <x v="0"/>
          </reference>
        </references>
      </pivotArea>
    </chartFormat>
    <chartFormat chart="12" format="18">
      <pivotArea type="data" outline="0" fieldPosition="0">
        <references count="2">
          <reference field="4294967294" count="1" selected="0">
            <x v="0"/>
          </reference>
          <reference field="1" count="1" selected="0">
            <x v="0"/>
          </reference>
        </references>
      </pivotArea>
    </chartFormat>
    <chartFormat chart="12" format="19">
      <pivotArea type="data" outline="0" fieldPosition="0">
        <references count="2">
          <reference field="4294967294" count="1" selected="0">
            <x v="0"/>
          </reference>
          <reference field="1" count="1" selected="0">
            <x v="1"/>
          </reference>
        </references>
      </pivotArea>
    </chartFormat>
    <chartFormat chart="12" format="20">
      <pivotArea type="data" outline="0" fieldPosition="0">
        <references count="2">
          <reference field="4294967294" count="1" selected="0">
            <x v="0"/>
          </reference>
          <reference field="1" count="1" selected="0">
            <x v="2"/>
          </reference>
        </references>
      </pivotArea>
    </chartFormat>
    <chartFormat chart="16" format="25" series="1">
      <pivotArea type="data" outline="0" fieldPosition="0">
        <references count="1">
          <reference field="4294967294" count="1" selected="0">
            <x v="0"/>
          </reference>
        </references>
      </pivotArea>
    </chartFormat>
    <chartFormat chart="16" format="26">
      <pivotArea type="data" outline="0" fieldPosition="0">
        <references count="2">
          <reference field="4294967294" count="1" selected="0">
            <x v="0"/>
          </reference>
          <reference field="1" count="1" selected="0">
            <x v="0"/>
          </reference>
        </references>
      </pivotArea>
    </chartFormat>
    <chartFormat chart="16" format="27">
      <pivotArea type="data" outline="0" fieldPosition="0">
        <references count="2">
          <reference field="4294967294" count="1" selected="0">
            <x v="0"/>
          </reference>
          <reference field="1" count="1" selected="0">
            <x v="1"/>
          </reference>
        </references>
      </pivotArea>
    </chartFormat>
    <chartFormat chart="16" format="28">
      <pivotArea type="data" outline="0" fieldPosition="0">
        <references count="2">
          <reference field="4294967294" count="1" selected="0">
            <x v="0"/>
          </reference>
          <reference field="1" count="1" selected="0">
            <x v="2"/>
          </reference>
        </references>
      </pivotArea>
    </chartFormat>
  </chartFormats>
  <pivotHierarchies count="2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_Performance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AB41695-9143-4EFF-99B5-963D2785295F}" name="SalaryByDepartment-Location" cacheId="3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BR5:BV10" firstHeaderRow="1" firstDataRow="2" firstDataCol="1"/>
  <pivotFields count="5">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xis="axisCol"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v="1"/>
    </i>
    <i>
      <x v="2"/>
    </i>
    <i>
      <x/>
    </i>
    <i t="grand">
      <x/>
    </i>
  </rowItems>
  <colFields count="1">
    <field x="2"/>
  </colFields>
  <colItems count="4">
    <i>
      <x v="1"/>
    </i>
    <i>
      <x v="2"/>
    </i>
    <i>
      <x/>
    </i>
    <i t="grand">
      <x/>
    </i>
  </colItems>
  <dataFields count="1">
    <dataField fld="1" subtotal="count" baseField="0" baseItem="0"/>
  </dataFields>
  <chartFormats count="6">
    <chartFormat chart="0" format="0" series="1">
      <pivotArea type="data" outline="0" fieldPosition="0">
        <references count="2">
          <reference field="4294967294" count="1" selected="0">
            <x v="0"/>
          </reference>
          <reference field="2" count="1" selected="0">
            <x v="1"/>
          </reference>
        </references>
      </pivotArea>
    </chartFormat>
    <chartFormat chart="0" format="1" series="1">
      <pivotArea type="data" outline="0" fieldPosition="0">
        <references count="2">
          <reference field="4294967294" count="1" selected="0">
            <x v="0"/>
          </reference>
          <reference field="2" count="1" selected="0">
            <x v="2"/>
          </reference>
        </references>
      </pivotArea>
    </chartFormat>
    <chartFormat chart="0" format="2" series="1">
      <pivotArea type="data" outline="0" fieldPosition="0">
        <references count="2">
          <reference field="4294967294" count="1" selected="0">
            <x v="0"/>
          </reference>
          <reference field="2" count="1" selected="0">
            <x v="0"/>
          </reference>
        </references>
      </pivotArea>
    </chartFormat>
    <chartFormat chart="8" format="6" series="1">
      <pivotArea type="data" outline="0" fieldPosition="0">
        <references count="2">
          <reference field="4294967294" count="1" selected="0">
            <x v="0"/>
          </reference>
          <reference field="2" count="1" selected="0">
            <x v="1"/>
          </reference>
        </references>
      </pivotArea>
    </chartFormat>
    <chartFormat chart="8" format="7" series="1">
      <pivotArea type="data" outline="0" fieldPosition="0">
        <references count="2">
          <reference field="4294967294" count="1" selected="0">
            <x v="0"/>
          </reference>
          <reference field="2" count="1" selected="0">
            <x v="2"/>
          </reference>
        </references>
      </pivotArea>
    </chartFormat>
    <chartFormat chart="8" format="8" series="1">
      <pivotArea type="data" outline="0" fieldPosition="0">
        <references count="2">
          <reference field="4294967294" count="1" selected="0">
            <x v="0"/>
          </reference>
          <reference field="2" count="1" selected="0">
            <x v="0"/>
          </reference>
        </references>
      </pivotArea>
    </chartFormat>
  </chartFormats>
  <pivotHierarchies count="2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_Performance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F0FE81B-21FA-45F8-AAFE-6437EA24EA9C}" name="AvgSalary" cacheId="19" applyNumberFormats="0" applyBorderFormats="0" applyFontFormats="0" applyPatternFormats="0" applyAlignmentFormats="0" applyWidthHeightFormats="1" dataCaption="Values" tag="bb0fef8c-09a5-487d-8f61-c7ed706e1aa3" updatedVersion="8" minRefreshableVersion="3" useAutoFormatting="1" subtotalHiddenItems="1" itemPrintTitles="1" createdVersion="8" indent="0" outline="1" outlineData="1" multipleFieldFilters="0">
  <location ref="A15:A16" firstHeaderRow="1" firstDataRow="1" firstDataCol="0"/>
  <pivotFields count="5">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2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_Performance_dataset]"/>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B38F4AE-5A8D-481A-9594-A0BF3B85938F}" autoFormatId="16" applyNumberFormats="0" applyBorderFormats="0" applyFontFormats="0" applyPatternFormats="0" applyAlignmentFormats="0" applyWidthHeightFormats="0">
  <queryTableRefresh nextId="13">
    <queryTableFields count="11">
      <queryTableField id="1" name="ID" tableColumnId="1"/>
      <queryTableField id="2" name="Name" tableColumnId="2"/>
      <queryTableField id="3" name="Age" tableColumnId="3"/>
      <queryTableField id="4" name="Gender" tableColumnId="4"/>
      <queryTableField id="5" name="Department" tableColumnId="5"/>
      <queryTableField id="6" name="Salary" tableColumnId="6"/>
      <queryTableField id="7" name="Joining Date" tableColumnId="7"/>
      <queryTableField id="8" name="Performance Score" tableColumnId="8"/>
      <queryTableField id="9" name="Experience" tableColumnId="9"/>
      <queryTableField id="11" name="Location" tableColumnId="11"/>
      <queryTableField id="12" name="Session"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_Score" xr10:uid="{2C6B0A96-329F-4F85-B542-887380175556}" sourceName="[Employe_Performance_dataset].[Performance Score]">
  <pivotTables>
    <pivotTable tabId="3" name="SalaryByBranch"/>
    <pivotTable tabId="3" name="AvgSalary"/>
    <pivotTable tabId="3" name="TotalEmployees"/>
    <pivotTable tabId="3" name="TotalSalary"/>
    <pivotTable tabId="3" name="CountEmployeesPerSesion"/>
    <pivotTable tabId="3" name="SalaryByDepartment-Location"/>
  </pivotTables>
  <data>
    <olap pivotCacheId="2121693371">
      <levels count="2">
        <level uniqueName="[Employe_Performance_dataset].[Performance Score].[(All)]" sourceCaption="(All)" count="0"/>
        <level uniqueName="[Employe_Performance_dataset].[Performance Score].[Performance Score]" sourceCaption="Performance Score" count="6">
          <ranges>
            <range startItem="0">
              <i n="[Employe_Performance_dataset].[Performance Score].&amp;" c="(blank)"/>
              <i n="[Employe_Performance_dataset].[Performance Score].&amp;[1]" c="1"/>
              <i n="[Employe_Performance_dataset].[Performance Score].&amp;[2]" c="2"/>
              <i n="[Employe_Performance_dataset].[Performance Score].&amp;[3]" c="3"/>
              <i n="[Employe_Performance_dataset].[Performance Score].&amp;[4]" c="4"/>
              <i n="[Employe_Performance_dataset].[Performance Score].&amp;[5]" c="5"/>
            </range>
          </ranges>
        </level>
      </levels>
      <selections count="1">
        <selection n="[Employe_Performance_dataset].[Performance Scor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perience" xr10:uid="{7A28B59E-5F68-46B7-A34E-806C4BD6CF42}" sourceName="[Employe_Performance_dataset].[Experience]">
  <pivotTables>
    <pivotTable tabId="3" name="SalaryByBranch"/>
    <pivotTable tabId="3" name="AvgSalary"/>
    <pivotTable tabId="3" name="SalaryByDepartment-Location"/>
    <pivotTable tabId="3" name="TotalEmployees"/>
    <pivotTable tabId="3" name="TotalSalary"/>
    <pivotTable tabId="3" name="CountEmployeesPerSesion"/>
  </pivotTables>
  <data>
    <olap pivotCacheId="2121693371">
      <levels count="2">
        <level uniqueName="[Employe_Performance_dataset].[Experience].[(All)]" sourceCaption="(All)" count="0"/>
        <level uniqueName="[Employe_Performance_dataset].[Experience].[Experience]" sourceCaption="Experience" count="20">
          <ranges>
            <range startItem="0">
              <i n="[Employe_Performance_dataset].[Experience].&amp;[1]" c="1"/>
              <i n="[Employe_Performance_dataset].[Experience].&amp;[2]" c="2"/>
              <i n="[Employe_Performance_dataset].[Experience].&amp;[3]" c="3"/>
              <i n="[Employe_Performance_dataset].[Experience].&amp;[4]" c="4"/>
              <i n="[Employe_Performance_dataset].[Experience].&amp;[5]" c="5"/>
              <i n="[Employe_Performance_dataset].[Experience].&amp;[6]" c="6"/>
              <i n="[Employe_Performance_dataset].[Experience].&amp;[7]" c="7"/>
              <i n="[Employe_Performance_dataset].[Experience].&amp;[8]" c="8"/>
              <i n="[Employe_Performance_dataset].[Experience].&amp;[9]" c="9"/>
              <i n="[Employe_Performance_dataset].[Experience].&amp;[10]" c="10"/>
              <i n="[Employe_Performance_dataset].[Experience].&amp;[11]" c="11"/>
              <i n="[Employe_Performance_dataset].[Experience].&amp;[12]" c="12"/>
              <i n="[Employe_Performance_dataset].[Experience].&amp;[13]" c="13"/>
              <i n="[Employe_Performance_dataset].[Experience].&amp;[14]" c="14"/>
              <i n="[Employe_Performance_dataset].[Experience].&amp;[15]" c="15"/>
              <i n="[Employe_Performance_dataset].[Experience].&amp;[16]" c="16"/>
              <i n="[Employe_Performance_dataset].[Experience].&amp;[17]" c="17"/>
              <i n="[Employe_Performance_dataset].[Experience].&amp;[18]" c="18"/>
              <i n="[Employe_Performance_dataset].[Experience].&amp;[19]" c="19"/>
              <i n="[Employe_Performance_dataset].[Experience].&amp;[20]" c="20"/>
            </range>
          </ranges>
        </level>
      </levels>
      <selections count="1">
        <selection n="[Employe_Performance_dataset].[Experienc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8BCB13EB-11AD-4E47-91CE-01696CCB2098}" sourceName="[Employe_Performance_dataset].[Department]">
  <pivotTables>
    <pivotTable tabId="3" name="SalaryByBranch"/>
    <pivotTable tabId="3" name="AvgSalary"/>
    <pivotTable tabId="3" name="CountEmployeesPerSesion"/>
    <pivotTable tabId="3" name="SalaryByDepartment-Location"/>
    <pivotTable tabId="3" name="TotalEmployees"/>
    <pivotTable tabId="3" name="TotalSalary"/>
    <pivotTable tabId="3" name="CountByGender"/>
  </pivotTables>
  <data>
    <olap pivotCacheId="2121693371">
      <levels count="2">
        <level uniqueName="[Employe_Performance_dataset].[Department].[(All)]" sourceCaption="(All)" count="0"/>
        <level uniqueName="[Employe_Performance_dataset].[Department].[Department]" sourceCaption="Department" count="3">
          <ranges>
            <range startItem="0">
              <i n="[Employe_Performance_dataset].[Department].&amp;[HR]" c="HR"/>
              <i n="[Employe_Performance_dataset].[Department].&amp;[IT]" c="IT"/>
              <i n="[Employe_Performance_dataset].[Department].&amp;[Sales]" c="Sales"/>
            </range>
          </ranges>
        </level>
      </levels>
      <selections count="1">
        <selection n="[Employe_Performance_dataset].[Department].[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C1943B82-D94F-4859-ABD9-C2ECB38567E6}" sourceName="[Employe_Performance_dataset].[Location]">
  <pivotTables>
    <pivotTable tabId="3" name="SalaryByBranch"/>
    <pivotTable tabId="3" name="AvgSalary"/>
    <pivotTable tabId="3" name="CountByGender"/>
    <pivotTable tabId="3" name="CountEmployeesPerSesion"/>
    <pivotTable tabId="3" name="SalaryByDepartment-Location"/>
    <pivotTable tabId="3" name="TotalEmployees"/>
    <pivotTable tabId="3" name="TotalSalary"/>
  </pivotTables>
  <data>
    <olap pivotCacheId="2121693371">
      <levels count="2">
        <level uniqueName="[Employe_Performance_dataset].[Location].[(All)]" sourceCaption="(All)" count="0"/>
        <level uniqueName="[Employe_Performance_dataset].[Location].[Location]" sourceCaption="Location" count="3">
          <ranges>
            <range startItem="0">
              <i n="[Employe_Performance_dataset].[Location].&amp;[Chicago]" c="Chicago"/>
              <i n="[Employe_Performance_dataset].[Location].&amp;[Los Angeles]" c="Los Angeles"/>
              <i n="[Employe_Performance_dataset].[Location].&amp;[New York]" c="New York"/>
            </range>
          </ranges>
        </level>
      </levels>
      <selections count="1">
        <selection n="[Employe_Performance_dataset].[Locat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erformance Score" xr10:uid="{0F9E460F-2DE6-4B0E-ADEF-6F68271BA706}" cache="Slicer_Performance_Score" caption="Performance Score" level="1" rowHeight="234950"/>
  <slicer name="Experience" xr10:uid="{8584DEE1-8E44-4EDA-97DB-6B7979CD8819}" cache="Slicer_Experience" caption="Experience" columnCount="2" level="1" rowHeight="234950"/>
  <slicer name="Department" xr10:uid="{B94D0511-1A43-4E16-89DE-3E08194C74CE}" cache="Slicer_Department" caption="Department" level="1" rowHeight="234950"/>
  <slicer name="Location" xr10:uid="{5BFF10B6-6F63-4037-92CE-32B1ECBA0547}" cache="Slicer_Location" caption="Branch Location"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E1DA156-0F3E-4FA7-8E78-C607C0FBEF55}" name="Employe_Performance_dataset" displayName="Employe_Performance_dataset" ref="A1:K502" tableType="queryTable" totalsRowShown="0">
  <autoFilter ref="A1:K502" xr:uid="{DE1DA156-0F3E-4FA7-8E78-C607C0FBEF55}"/>
  <tableColumns count="11">
    <tableColumn id="1" xr3:uid="{8677F07F-2BD9-4616-BF1F-79D79843C089}" uniqueName="1" name="ID" queryTableFieldId="1"/>
    <tableColumn id="2" xr3:uid="{6D666D82-81BF-4C60-8708-A942658B0B3D}" uniqueName="2" name="Name" queryTableFieldId="2" dataDxfId="5"/>
    <tableColumn id="3" xr3:uid="{51A9321B-846A-4449-9F0E-F699EA637B6A}" uniqueName="3" name="Age" queryTableFieldId="3"/>
    <tableColumn id="4" xr3:uid="{AE4F5B7F-D93C-494E-B7C3-6F9DE74E4815}" uniqueName="4" name="Gender" queryTableFieldId="4" dataDxfId="4"/>
    <tableColumn id="5" xr3:uid="{C5004D88-AE7F-435C-A97B-A84EDE790D4F}" uniqueName="5" name="Department" queryTableFieldId="5" dataDxfId="3"/>
    <tableColumn id="6" xr3:uid="{DE495C7C-C20C-4A54-B3EF-B9BE17AF470F}" uniqueName="6" name="Salary" queryTableFieldId="6"/>
    <tableColumn id="7" xr3:uid="{B21B909E-8ECD-4508-B681-95FE4D9CE182}" uniqueName="7" name="Joining Date" queryTableFieldId="7" dataDxfId="2"/>
    <tableColumn id="8" xr3:uid="{7008056D-486E-42AB-988C-7D28126218E3}" uniqueName="8" name="Performance Score" queryTableFieldId="8"/>
    <tableColumn id="9" xr3:uid="{8BD91784-587A-44AC-9094-1F8A4825D695}" uniqueName="9" name="Experience" queryTableFieldId="9"/>
    <tableColumn id="11" xr3:uid="{EA8827B0-4728-4E7D-9FC7-AA90A97575DA}" uniqueName="11" name="Location" queryTableFieldId="11" dataDxfId="1"/>
    <tableColumn id="12" xr3:uid="{ACEBD98E-366F-467C-9E34-D46E407EA032}" uniqueName="12" name="Session" queryTableFieldId="12"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drawing" Target="../drawings/drawing1.xml"/><Relationship Id="rId2" Type="http://schemas.openxmlformats.org/officeDocument/2006/relationships/pivotTable" Target="../pivotTables/pivotTable2.xml"/><Relationship Id="rId16" Type="http://schemas.openxmlformats.org/officeDocument/2006/relationships/printerSettings" Target="../printerSettings/printerSettings1.bin"/><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500DB-9545-4BEB-83B6-33C93E8FED93}">
  <dimension ref="A1:K502"/>
  <sheetViews>
    <sheetView workbookViewId="0">
      <selection activeCell="E40" sqref="E40"/>
    </sheetView>
  </sheetViews>
  <sheetFormatPr defaultRowHeight="14.4" x14ac:dyDescent="0.3"/>
  <cols>
    <col min="1" max="1" width="5" bestFit="1" customWidth="1"/>
    <col min="2" max="2" width="23.88671875" bestFit="1" customWidth="1"/>
    <col min="3" max="3" width="6.44140625" bestFit="1" customWidth="1"/>
    <col min="4" max="4" width="9.33203125" bestFit="1" customWidth="1"/>
    <col min="5" max="5" width="13.33203125" bestFit="1" customWidth="1"/>
    <col min="6" max="6" width="8.33203125" bestFit="1" customWidth="1"/>
    <col min="7" max="7" width="13.44140625" bestFit="1" customWidth="1"/>
    <col min="8" max="8" width="19.44140625" bestFit="1" customWidth="1"/>
    <col min="9" max="9" width="12.33203125" bestFit="1" customWidth="1"/>
    <col min="10" max="10" width="10.44140625" bestFit="1" customWidth="1"/>
    <col min="11" max="12" width="9.44140625" bestFit="1" customWidth="1"/>
  </cols>
  <sheetData>
    <row r="1" spans="1:11" x14ac:dyDescent="0.3">
      <c r="A1" t="s">
        <v>0</v>
      </c>
      <c r="B1" t="s">
        <v>1</v>
      </c>
      <c r="C1" t="s">
        <v>2</v>
      </c>
      <c r="D1" t="s">
        <v>3</v>
      </c>
      <c r="E1" t="s">
        <v>4</v>
      </c>
      <c r="F1" t="s">
        <v>5</v>
      </c>
      <c r="G1" t="s">
        <v>6</v>
      </c>
      <c r="H1" t="s">
        <v>7</v>
      </c>
      <c r="I1" t="s">
        <v>8</v>
      </c>
      <c r="J1" t="s">
        <v>9</v>
      </c>
      <c r="K1" t="s">
        <v>10</v>
      </c>
    </row>
    <row r="2" spans="1:11" x14ac:dyDescent="0.3">
      <c r="A2">
        <v>1</v>
      </c>
      <c r="B2" t="s">
        <v>11</v>
      </c>
      <c r="C2">
        <v>48</v>
      </c>
      <c r="D2" t="s">
        <v>12</v>
      </c>
      <c r="E2" t="s">
        <v>13</v>
      </c>
      <c r="F2">
        <v>5641</v>
      </c>
      <c r="G2" s="1">
        <v>42127</v>
      </c>
      <c r="H2">
        <v>2</v>
      </c>
      <c r="I2">
        <v>16</v>
      </c>
      <c r="J2" t="s">
        <v>14</v>
      </c>
      <c r="K2" t="s">
        <v>15</v>
      </c>
    </row>
    <row r="3" spans="1:11" x14ac:dyDescent="0.3">
      <c r="A3">
        <v>6</v>
      </c>
      <c r="B3" t="s">
        <v>22</v>
      </c>
      <c r="C3">
        <v>29</v>
      </c>
      <c r="D3" t="s">
        <v>12</v>
      </c>
      <c r="E3" t="s">
        <v>13</v>
      </c>
      <c r="F3">
        <v>2591</v>
      </c>
      <c r="G3" s="1">
        <v>42545</v>
      </c>
      <c r="H3">
        <v>1</v>
      </c>
      <c r="I3">
        <v>6</v>
      </c>
      <c r="J3" t="s">
        <v>23</v>
      </c>
      <c r="K3" t="s">
        <v>19</v>
      </c>
    </row>
    <row r="4" spans="1:11" x14ac:dyDescent="0.3">
      <c r="A4">
        <v>7</v>
      </c>
      <c r="B4" t="s">
        <v>24</v>
      </c>
      <c r="C4">
        <v>39</v>
      </c>
      <c r="D4" t="s">
        <v>12</v>
      </c>
      <c r="E4" t="s">
        <v>17</v>
      </c>
      <c r="F4">
        <v>6826</v>
      </c>
      <c r="G4" s="1">
        <v>45057</v>
      </c>
      <c r="I4">
        <v>4</v>
      </c>
      <c r="J4" t="s">
        <v>14</v>
      </c>
      <c r="K4" t="s">
        <v>15</v>
      </c>
    </row>
    <row r="5" spans="1:11" x14ac:dyDescent="0.3">
      <c r="A5">
        <v>10</v>
      </c>
      <c r="B5" t="s">
        <v>25</v>
      </c>
      <c r="C5">
        <v>30</v>
      </c>
      <c r="D5" t="s">
        <v>26</v>
      </c>
      <c r="E5" t="s">
        <v>21</v>
      </c>
      <c r="F5">
        <v>8202</v>
      </c>
      <c r="G5" s="1">
        <v>43246</v>
      </c>
      <c r="H5">
        <v>1</v>
      </c>
      <c r="I5">
        <v>9</v>
      </c>
      <c r="J5" t="s">
        <v>18</v>
      </c>
      <c r="K5" t="s">
        <v>20</v>
      </c>
    </row>
    <row r="6" spans="1:11" x14ac:dyDescent="0.3">
      <c r="A6">
        <v>11</v>
      </c>
      <c r="B6" t="s">
        <v>27</v>
      </c>
      <c r="C6">
        <v>42</v>
      </c>
      <c r="D6" t="s">
        <v>12</v>
      </c>
      <c r="E6" t="s">
        <v>17</v>
      </c>
      <c r="F6">
        <v>5336</v>
      </c>
      <c r="G6" s="1">
        <v>42032</v>
      </c>
      <c r="H6">
        <v>3</v>
      </c>
      <c r="I6">
        <v>7</v>
      </c>
      <c r="J6" t="s">
        <v>18</v>
      </c>
      <c r="K6" t="s">
        <v>19</v>
      </c>
    </row>
    <row r="7" spans="1:11" x14ac:dyDescent="0.3">
      <c r="A7">
        <v>12</v>
      </c>
      <c r="B7" t="s">
        <v>28</v>
      </c>
      <c r="C7">
        <v>60</v>
      </c>
      <c r="D7" t="s">
        <v>16</v>
      </c>
      <c r="E7" t="s">
        <v>13</v>
      </c>
      <c r="F7">
        <v>6908</v>
      </c>
      <c r="G7" s="1">
        <v>42077</v>
      </c>
      <c r="H7">
        <v>4</v>
      </c>
      <c r="I7">
        <v>19</v>
      </c>
      <c r="J7" t="s">
        <v>23</v>
      </c>
      <c r="K7" t="s">
        <v>15</v>
      </c>
    </row>
    <row r="8" spans="1:11" x14ac:dyDescent="0.3">
      <c r="A8">
        <v>18</v>
      </c>
      <c r="B8" t="s">
        <v>29</v>
      </c>
      <c r="C8">
        <v>31</v>
      </c>
      <c r="D8" t="s">
        <v>12</v>
      </c>
      <c r="E8" t="s">
        <v>13</v>
      </c>
      <c r="F8">
        <v>3519</v>
      </c>
      <c r="G8" s="1">
        <v>43238</v>
      </c>
      <c r="H8">
        <v>4</v>
      </c>
      <c r="I8">
        <v>6</v>
      </c>
      <c r="J8" t="s">
        <v>14</v>
      </c>
      <c r="K8" t="s">
        <v>20</v>
      </c>
    </row>
    <row r="9" spans="1:11" x14ac:dyDescent="0.3">
      <c r="A9">
        <v>20</v>
      </c>
      <c r="B9" t="s">
        <v>30</v>
      </c>
      <c r="C9">
        <v>57</v>
      </c>
      <c r="D9" t="s">
        <v>12</v>
      </c>
      <c r="E9" t="s">
        <v>13</v>
      </c>
      <c r="F9">
        <v>7251</v>
      </c>
      <c r="G9" s="1">
        <v>45084</v>
      </c>
      <c r="I9">
        <v>10</v>
      </c>
      <c r="J9" t="s">
        <v>18</v>
      </c>
      <c r="K9" t="s">
        <v>19</v>
      </c>
    </row>
    <row r="10" spans="1:11" x14ac:dyDescent="0.3">
      <c r="A10">
        <v>21</v>
      </c>
      <c r="B10" t="s">
        <v>31</v>
      </c>
      <c r="C10">
        <v>35</v>
      </c>
      <c r="D10" t="s">
        <v>26</v>
      </c>
      <c r="E10" t="s">
        <v>17</v>
      </c>
      <c r="F10">
        <v>4565</v>
      </c>
      <c r="G10" s="1">
        <v>43138</v>
      </c>
      <c r="I10">
        <v>9</v>
      </c>
      <c r="J10" t="s">
        <v>23</v>
      </c>
      <c r="K10" t="s">
        <v>15</v>
      </c>
    </row>
    <row r="11" spans="1:11" x14ac:dyDescent="0.3">
      <c r="A11">
        <v>24</v>
      </c>
      <c r="B11" t="s">
        <v>32</v>
      </c>
      <c r="C11">
        <v>31</v>
      </c>
      <c r="D11" t="s">
        <v>12</v>
      </c>
      <c r="E11" t="s">
        <v>13</v>
      </c>
      <c r="F11">
        <v>5386</v>
      </c>
      <c r="G11" s="1">
        <v>44226</v>
      </c>
      <c r="I11">
        <v>3</v>
      </c>
      <c r="J11" t="s">
        <v>18</v>
      </c>
      <c r="K11" t="s">
        <v>19</v>
      </c>
    </row>
    <row r="12" spans="1:11" x14ac:dyDescent="0.3">
      <c r="A12">
        <v>25</v>
      </c>
      <c r="B12" t="s">
        <v>33</v>
      </c>
      <c r="C12">
        <v>21</v>
      </c>
      <c r="D12" t="s">
        <v>26</v>
      </c>
      <c r="E12" t="s">
        <v>13</v>
      </c>
      <c r="F12">
        <v>9275</v>
      </c>
      <c r="G12" s="1">
        <v>44660</v>
      </c>
      <c r="H12">
        <v>4</v>
      </c>
      <c r="I12">
        <v>12</v>
      </c>
      <c r="J12" t="s">
        <v>14</v>
      </c>
      <c r="K12" t="s">
        <v>20</v>
      </c>
    </row>
    <row r="13" spans="1:11" x14ac:dyDescent="0.3">
      <c r="A13">
        <v>26</v>
      </c>
      <c r="B13" t="s">
        <v>34</v>
      </c>
      <c r="C13">
        <v>30</v>
      </c>
      <c r="D13" t="s">
        <v>16</v>
      </c>
      <c r="E13" t="s">
        <v>13</v>
      </c>
      <c r="F13">
        <v>6120</v>
      </c>
      <c r="G13" s="1">
        <v>43881</v>
      </c>
      <c r="H13">
        <v>5</v>
      </c>
      <c r="I13">
        <v>7</v>
      </c>
      <c r="J13" t="s">
        <v>14</v>
      </c>
      <c r="K13" t="s">
        <v>19</v>
      </c>
    </row>
    <row r="14" spans="1:11" x14ac:dyDescent="0.3">
      <c r="A14">
        <v>33</v>
      </c>
      <c r="B14" t="s">
        <v>35</v>
      </c>
      <c r="C14">
        <v>65</v>
      </c>
      <c r="D14" t="s">
        <v>16</v>
      </c>
      <c r="E14" t="s">
        <v>17</v>
      </c>
      <c r="F14">
        <v>6547</v>
      </c>
      <c r="G14" s="1">
        <v>45453</v>
      </c>
      <c r="I14">
        <v>10</v>
      </c>
      <c r="J14" t="s">
        <v>23</v>
      </c>
      <c r="K14" t="s">
        <v>19</v>
      </c>
    </row>
    <row r="15" spans="1:11" x14ac:dyDescent="0.3">
      <c r="A15">
        <v>34</v>
      </c>
      <c r="B15" t="s">
        <v>36</v>
      </c>
      <c r="C15">
        <v>42</v>
      </c>
      <c r="D15" t="s">
        <v>12</v>
      </c>
      <c r="E15" t="s">
        <v>21</v>
      </c>
      <c r="F15">
        <v>5207</v>
      </c>
      <c r="G15" s="1">
        <v>42964</v>
      </c>
      <c r="H15">
        <v>1</v>
      </c>
      <c r="I15">
        <v>4</v>
      </c>
      <c r="J15" t="s">
        <v>18</v>
      </c>
      <c r="K15" t="s">
        <v>15</v>
      </c>
    </row>
    <row r="16" spans="1:11" x14ac:dyDescent="0.3">
      <c r="A16">
        <v>37</v>
      </c>
      <c r="B16" t="s">
        <v>37</v>
      </c>
      <c r="C16">
        <v>39</v>
      </c>
      <c r="D16" t="s">
        <v>26</v>
      </c>
      <c r="E16" t="s">
        <v>17</v>
      </c>
      <c r="F16">
        <v>2364</v>
      </c>
      <c r="G16" s="1">
        <v>43156</v>
      </c>
      <c r="H16">
        <v>1</v>
      </c>
      <c r="I16">
        <v>15</v>
      </c>
      <c r="J16" t="s">
        <v>18</v>
      </c>
      <c r="K16" t="s">
        <v>19</v>
      </c>
    </row>
    <row r="17" spans="1:11" x14ac:dyDescent="0.3">
      <c r="A17">
        <v>39</v>
      </c>
      <c r="B17" t="s">
        <v>38</v>
      </c>
      <c r="C17">
        <v>33</v>
      </c>
      <c r="D17" t="s">
        <v>16</v>
      </c>
      <c r="E17" t="s">
        <v>17</v>
      </c>
      <c r="F17">
        <v>8678</v>
      </c>
      <c r="G17" s="1">
        <v>42505</v>
      </c>
      <c r="H17">
        <v>5</v>
      </c>
      <c r="I17">
        <v>9</v>
      </c>
      <c r="J17" t="s">
        <v>18</v>
      </c>
      <c r="K17" t="s">
        <v>19</v>
      </c>
    </row>
    <row r="18" spans="1:11" x14ac:dyDescent="0.3">
      <c r="A18">
        <v>40</v>
      </c>
      <c r="B18" t="s">
        <v>39</v>
      </c>
      <c r="C18">
        <v>36</v>
      </c>
      <c r="D18" t="s">
        <v>26</v>
      </c>
      <c r="E18" t="s">
        <v>13</v>
      </c>
      <c r="F18">
        <v>8870</v>
      </c>
      <c r="G18" s="1">
        <v>45516</v>
      </c>
      <c r="H18">
        <v>4</v>
      </c>
      <c r="I18">
        <v>17</v>
      </c>
      <c r="J18" t="s">
        <v>18</v>
      </c>
      <c r="K18" t="s">
        <v>19</v>
      </c>
    </row>
    <row r="19" spans="1:11" x14ac:dyDescent="0.3">
      <c r="A19">
        <v>44</v>
      </c>
      <c r="B19" t="s">
        <v>40</v>
      </c>
      <c r="C19">
        <v>64</v>
      </c>
      <c r="D19" t="s">
        <v>12</v>
      </c>
      <c r="E19" t="s">
        <v>21</v>
      </c>
      <c r="F19">
        <v>2427</v>
      </c>
      <c r="G19" s="1">
        <v>41992</v>
      </c>
      <c r="I19">
        <v>6</v>
      </c>
      <c r="J19" t="s">
        <v>14</v>
      </c>
      <c r="K19" t="s">
        <v>15</v>
      </c>
    </row>
    <row r="20" spans="1:11" x14ac:dyDescent="0.3">
      <c r="A20">
        <v>45</v>
      </c>
      <c r="B20" t="s">
        <v>41</v>
      </c>
      <c r="C20">
        <v>20</v>
      </c>
      <c r="D20" t="s">
        <v>16</v>
      </c>
      <c r="E20" t="s">
        <v>21</v>
      </c>
      <c r="F20">
        <v>4184</v>
      </c>
      <c r="G20" s="1">
        <v>43011</v>
      </c>
      <c r="I20">
        <v>13</v>
      </c>
      <c r="J20" t="s">
        <v>14</v>
      </c>
      <c r="K20" t="s">
        <v>20</v>
      </c>
    </row>
    <row r="21" spans="1:11" x14ac:dyDescent="0.3">
      <c r="A21">
        <v>48</v>
      </c>
      <c r="B21" t="s">
        <v>42</v>
      </c>
      <c r="C21">
        <v>48</v>
      </c>
      <c r="D21" t="s">
        <v>16</v>
      </c>
      <c r="E21" t="s">
        <v>21</v>
      </c>
      <c r="F21">
        <v>5848</v>
      </c>
      <c r="G21" s="1">
        <v>42769</v>
      </c>
      <c r="H21">
        <v>3</v>
      </c>
      <c r="I21">
        <v>2</v>
      </c>
      <c r="J21" t="s">
        <v>18</v>
      </c>
      <c r="K21" t="s">
        <v>15</v>
      </c>
    </row>
    <row r="22" spans="1:11" x14ac:dyDescent="0.3">
      <c r="A22">
        <v>49</v>
      </c>
      <c r="B22" t="s">
        <v>43</v>
      </c>
      <c r="C22">
        <v>46</v>
      </c>
      <c r="D22" t="s">
        <v>26</v>
      </c>
      <c r="E22" t="s">
        <v>17</v>
      </c>
      <c r="F22">
        <v>2773</v>
      </c>
      <c r="G22" s="1">
        <v>44982</v>
      </c>
      <c r="H22">
        <v>4</v>
      </c>
      <c r="I22">
        <v>9</v>
      </c>
      <c r="J22" t="s">
        <v>14</v>
      </c>
      <c r="K22" t="s">
        <v>20</v>
      </c>
    </row>
    <row r="23" spans="1:11" x14ac:dyDescent="0.3">
      <c r="A23">
        <v>50</v>
      </c>
      <c r="B23" t="s">
        <v>44</v>
      </c>
      <c r="C23">
        <v>23</v>
      </c>
      <c r="D23" t="s">
        <v>26</v>
      </c>
      <c r="E23" t="s">
        <v>13</v>
      </c>
      <c r="F23">
        <v>6253</v>
      </c>
      <c r="G23" s="1">
        <v>45190</v>
      </c>
      <c r="H23">
        <v>4</v>
      </c>
      <c r="I23">
        <v>14</v>
      </c>
      <c r="J23" t="s">
        <v>18</v>
      </c>
      <c r="K23" t="s">
        <v>15</v>
      </c>
    </row>
    <row r="24" spans="1:11" x14ac:dyDescent="0.3">
      <c r="A24">
        <v>51</v>
      </c>
      <c r="B24" t="s">
        <v>45</v>
      </c>
      <c r="C24">
        <v>27</v>
      </c>
      <c r="D24" t="s">
        <v>16</v>
      </c>
      <c r="E24" t="s">
        <v>17</v>
      </c>
      <c r="F24">
        <v>3253</v>
      </c>
      <c r="G24" s="1">
        <v>42345</v>
      </c>
      <c r="I24">
        <v>12</v>
      </c>
      <c r="J24" t="s">
        <v>23</v>
      </c>
      <c r="K24" t="s">
        <v>20</v>
      </c>
    </row>
    <row r="25" spans="1:11" x14ac:dyDescent="0.3">
      <c r="A25">
        <v>54</v>
      </c>
      <c r="B25" t="s">
        <v>46</v>
      </c>
      <c r="C25">
        <v>62</v>
      </c>
      <c r="D25" t="s">
        <v>16</v>
      </c>
      <c r="E25" t="s">
        <v>17</v>
      </c>
      <c r="F25">
        <v>5721</v>
      </c>
      <c r="G25" s="1">
        <v>43472</v>
      </c>
      <c r="H25">
        <v>5</v>
      </c>
      <c r="I25">
        <v>7</v>
      </c>
      <c r="J25" t="s">
        <v>23</v>
      </c>
      <c r="K25" t="s">
        <v>15</v>
      </c>
    </row>
    <row r="26" spans="1:11" x14ac:dyDescent="0.3">
      <c r="A26">
        <v>55</v>
      </c>
      <c r="B26" t="s">
        <v>47</v>
      </c>
      <c r="C26">
        <v>63</v>
      </c>
      <c r="D26" t="s">
        <v>16</v>
      </c>
      <c r="E26" t="s">
        <v>13</v>
      </c>
      <c r="F26">
        <v>4533</v>
      </c>
      <c r="G26" s="1">
        <v>45210</v>
      </c>
      <c r="H26">
        <v>4</v>
      </c>
      <c r="I26">
        <v>16</v>
      </c>
      <c r="J26" t="s">
        <v>18</v>
      </c>
      <c r="K26" t="s">
        <v>15</v>
      </c>
    </row>
    <row r="27" spans="1:11" x14ac:dyDescent="0.3">
      <c r="A27">
        <v>57</v>
      </c>
      <c r="B27" t="s">
        <v>48</v>
      </c>
      <c r="C27">
        <v>38</v>
      </c>
      <c r="D27" t="s">
        <v>16</v>
      </c>
      <c r="E27" t="s">
        <v>21</v>
      </c>
      <c r="F27">
        <v>4954</v>
      </c>
      <c r="G27" s="1">
        <v>45515</v>
      </c>
      <c r="I27">
        <v>12</v>
      </c>
      <c r="J27" t="s">
        <v>18</v>
      </c>
      <c r="K27" t="s">
        <v>15</v>
      </c>
    </row>
    <row r="28" spans="1:11" x14ac:dyDescent="0.3">
      <c r="A28">
        <v>58</v>
      </c>
      <c r="B28" t="s">
        <v>49</v>
      </c>
      <c r="C28">
        <v>58</v>
      </c>
      <c r="D28" t="s">
        <v>12</v>
      </c>
      <c r="E28" t="s">
        <v>17</v>
      </c>
      <c r="F28">
        <v>3635</v>
      </c>
      <c r="G28" s="1">
        <v>44295</v>
      </c>
      <c r="I28">
        <v>7</v>
      </c>
      <c r="J28" t="s">
        <v>14</v>
      </c>
      <c r="K28" t="s">
        <v>15</v>
      </c>
    </row>
    <row r="29" spans="1:11" x14ac:dyDescent="0.3">
      <c r="A29">
        <v>59</v>
      </c>
      <c r="B29" t="s">
        <v>50</v>
      </c>
      <c r="C29">
        <v>57</v>
      </c>
      <c r="D29" t="s">
        <v>26</v>
      </c>
      <c r="E29" t="s">
        <v>17</v>
      </c>
      <c r="F29">
        <v>4651</v>
      </c>
      <c r="G29" s="1">
        <v>43138</v>
      </c>
      <c r="I29">
        <v>19</v>
      </c>
      <c r="J29" t="s">
        <v>18</v>
      </c>
      <c r="K29" t="s">
        <v>15</v>
      </c>
    </row>
    <row r="30" spans="1:11" x14ac:dyDescent="0.3">
      <c r="A30">
        <v>61</v>
      </c>
      <c r="B30" t="s">
        <v>51</v>
      </c>
      <c r="C30">
        <v>51</v>
      </c>
      <c r="D30" t="s">
        <v>16</v>
      </c>
      <c r="E30" t="s">
        <v>17</v>
      </c>
      <c r="F30">
        <v>8544</v>
      </c>
      <c r="G30" s="1">
        <v>43869</v>
      </c>
      <c r="I30">
        <v>6</v>
      </c>
      <c r="J30" t="s">
        <v>14</v>
      </c>
      <c r="K30" t="s">
        <v>19</v>
      </c>
    </row>
    <row r="31" spans="1:11" x14ac:dyDescent="0.3">
      <c r="A31">
        <v>62</v>
      </c>
      <c r="B31" t="s">
        <v>52</v>
      </c>
      <c r="C31">
        <v>33</v>
      </c>
      <c r="D31" t="s">
        <v>26</v>
      </c>
      <c r="E31" t="s">
        <v>17</v>
      </c>
      <c r="F31">
        <v>2851</v>
      </c>
      <c r="G31" s="1">
        <v>44956</v>
      </c>
      <c r="H31">
        <v>2</v>
      </c>
      <c r="I31">
        <v>11</v>
      </c>
      <c r="J31" t="s">
        <v>23</v>
      </c>
      <c r="K31" t="s">
        <v>20</v>
      </c>
    </row>
    <row r="32" spans="1:11" x14ac:dyDescent="0.3">
      <c r="A32">
        <v>63</v>
      </c>
      <c r="B32" t="s">
        <v>53</v>
      </c>
      <c r="C32">
        <v>57</v>
      </c>
      <c r="D32" t="s">
        <v>12</v>
      </c>
      <c r="E32" t="s">
        <v>21</v>
      </c>
      <c r="F32">
        <v>3933</v>
      </c>
      <c r="G32" s="1">
        <v>45079</v>
      </c>
      <c r="I32">
        <v>6</v>
      </c>
      <c r="J32" t="s">
        <v>18</v>
      </c>
      <c r="K32" t="s">
        <v>15</v>
      </c>
    </row>
    <row r="33" spans="1:11" x14ac:dyDescent="0.3">
      <c r="A33">
        <v>64</v>
      </c>
      <c r="B33" t="s">
        <v>54</v>
      </c>
      <c r="C33">
        <v>39</v>
      </c>
      <c r="D33" t="s">
        <v>12</v>
      </c>
      <c r="E33" t="s">
        <v>21</v>
      </c>
      <c r="F33">
        <v>2585</v>
      </c>
      <c r="G33" s="1">
        <v>44974</v>
      </c>
      <c r="H33">
        <v>2</v>
      </c>
      <c r="I33">
        <v>1</v>
      </c>
      <c r="J33" t="s">
        <v>18</v>
      </c>
      <c r="K33" t="s">
        <v>19</v>
      </c>
    </row>
    <row r="34" spans="1:11" x14ac:dyDescent="0.3">
      <c r="A34">
        <v>65</v>
      </c>
      <c r="B34" t="s">
        <v>55</v>
      </c>
      <c r="C34">
        <v>20</v>
      </c>
      <c r="D34" t="s">
        <v>16</v>
      </c>
      <c r="E34" t="s">
        <v>17</v>
      </c>
      <c r="F34">
        <v>3718</v>
      </c>
      <c r="G34" s="1">
        <v>43757</v>
      </c>
      <c r="I34">
        <v>4</v>
      </c>
      <c r="J34" t="s">
        <v>18</v>
      </c>
      <c r="K34" t="s">
        <v>20</v>
      </c>
    </row>
    <row r="35" spans="1:11" x14ac:dyDescent="0.3">
      <c r="A35">
        <v>67</v>
      </c>
      <c r="B35" t="s">
        <v>56</v>
      </c>
      <c r="C35">
        <v>25</v>
      </c>
      <c r="D35" t="s">
        <v>12</v>
      </c>
      <c r="E35" t="s">
        <v>13</v>
      </c>
      <c r="F35">
        <v>7637</v>
      </c>
      <c r="G35" s="1">
        <v>44460</v>
      </c>
      <c r="I35">
        <v>4</v>
      </c>
      <c r="J35" t="s">
        <v>18</v>
      </c>
      <c r="K35" t="s">
        <v>15</v>
      </c>
    </row>
    <row r="36" spans="1:11" x14ac:dyDescent="0.3">
      <c r="A36">
        <v>68</v>
      </c>
      <c r="B36" t="s">
        <v>57</v>
      </c>
      <c r="C36">
        <v>27</v>
      </c>
      <c r="D36" t="s">
        <v>26</v>
      </c>
      <c r="E36" t="s">
        <v>13</v>
      </c>
      <c r="F36">
        <v>6921</v>
      </c>
      <c r="G36" s="1">
        <v>45596</v>
      </c>
      <c r="H36">
        <v>2</v>
      </c>
      <c r="I36">
        <v>3</v>
      </c>
      <c r="J36" t="s">
        <v>23</v>
      </c>
      <c r="K36" t="s">
        <v>19</v>
      </c>
    </row>
    <row r="37" spans="1:11" x14ac:dyDescent="0.3">
      <c r="A37">
        <v>69</v>
      </c>
      <c r="B37" t="s">
        <v>58</v>
      </c>
      <c r="C37">
        <v>29</v>
      </c>
      <c r="D37" t="s">
        <v>26</v>
      </c>
      <c r="E37" t="s">
        <v>13</v>
      </c>
      <c r="F37">
        <v>7554</v>
      </c>
      <c r="G37" s="1">
        <v>43027</v>
      </c>
      <c r="I37">
        <v>17</v>
      </c>
      <c r="J37" t="s">
        <v>23</v>
      </c>
      <c r="K37" t="s">
        <v>15</v>
      </c>
    </row>
    <row r="38" spans="1:11" x14ac:dyDescent="0.3">
      <c r="A38">
        <v>71</v>
      </c>
      <c r="B38" t="s">
        <v>59</v>
      </c>
      <c r="C38">
        <v>40</v>
      </c>
      <c r="D38" t="s">
        <v>26</v>
      </c>
      <c r="E38" t="s">
        <v>17</v>
      </c>
      <c r="F38">
        <v>2466</v>
      </c>
      <c r="G38" s="1">
        <v>43198</v>
      </c>
      <c r="I38">
        <v>15</v>
      </c>
      <c r="J38" t="s">
        <v>23</v>
      </c>
      <c r="K38" t="s">
        <v>19</v>
      </c>
    </row>
    <row r="39" spans="1:11" x14ac:dyDescent="0.3">
      <c r="A39">
        <v>72</v>
      </c>
      <c r="B39" t="s">
        <v>60</v>
      </c>
      <c r="C39">
        <v>45</v>
      </c>
      <c r="D39" t="s">
        <v>12</v>
      </c>
      <c r="E39" t="s">
        <v>17</v>
      </c>
      <c r="F39">
        <v>3897</v>
      </c>
      <c r="G39" s="1">
        <v>43603</v>
      </c>
      <c r="H39">
        <v>4</v>
      </c>
      <c r="I39">
        <v>12</v>
      </c>
      <c r="J39" t="s">
        <v>23</v>
      </c>
      <c r="K39" t="s">
        <v>19</v>
      </c>
    </row>
    <row r="40" spans="1:11" x14ac:dyDescent="0.3">
      <c r="A40">
        <v>73</v>
      </c>
      <c r="B40" t="s">
        <v>61</v>
      </c>
      <c r="C40">
        <v>52</v>
      </c>
      <c r="D40" t="s">
        <v>26</v>
      </c>
      <c r="E40" t="s">
        <v>13</v>
      </c>
      <c r="F40">
        <v>8386</v>
      </c>
      <c r="G40" s="1">
        <v>42466</v>
      </c>
      <c r="I40">
        <v>14</v>
      </c>
      <c r="J40" t="s">
        <v>23</v>
      </c>
      <c r="K40" t="s">
        <v>20</v>
      </c>
    </row>
    <row r="41" spans="1:11" x14ac:dyDescent="0.3">
      <c r="A41">
        <v>77</v>
      </c>
      <c r="B41" t="s">
        <v>62</v>
      </c>
      <c r="C41">
        <v>47</v>
      </c>
      <c r="D41" t="s">
        <v>12</v>
      </c>
      <c r="E41" t="s">
        <v>17</v>
      </c>
      <c r="F41">
        <v>2025</v>
      </c>
      <c r="G41" s="1">
        <v>42138</v>
      </c>
      <c r="H41">
        <v>1</v>
      </c>
      <c r="I41">
        <v>5</v>
      </c>
      <c r="J41" t="s">
        <v>14</v>
      </c>
      <c r="K41" t="s">
        <v>15</v>
      </c>
    </row>
    <row r="42" spans="1:11" x14ac:dyDescent="0.3">
      <c r="A42">
        <v>82</v>
      </c>
      <c r="B42" t="s">
        <v>63</v>
      </c>
      <c r="C42">
        <v>62</v>
      </c>
      <c r="D42" t="s">
        <v>26</v>
      </c>
      <c r="E42" t="s">
        <v>13</v>
      </c>
      <c r="F42">
        <v>4292</v>
      </c>
      <c r="G42" s="1">
        <v>44147</v>
      </c>
      <c r="H42">
        <v>2</v>
      </c>
      <c r="I42">
        <v>7</v>
      </c>
      <c r="J42" t="s">
        <v>18</v>
      </c>
      <c r="K42" t="s">
        <v>15</v>
      </c>
    </row>
    <row r="43" spans="1:11" x14ac:dyDescent="0.3">
      <c r="A43">
        <v>83</v>
      </c>
      <c r="B43" t="s">
        <v>64</v>
      </c>
      <c r="C43">
        <v>49</v>
      </c>
      <c r="D43" t="s">
        <v>16</v>
      </c>
      <c r="E43" t="s">
        <v>17</v>
      </c>
      <c r="F43">
        <v>3111</v>
      </c>
      <c r="G43" s="1">
        <v>44137</v>
      </c>
      <c r="I43">
        <v>3</v>
      </c>
      <c r="J43" t="s">
        <v>23</v>
      </c>
      <c r="K43" t="s">
        <v>19</v>
      </c>
    </row>
    <row r="44" spans="1:11" x14ac:dyDescent="0.3">
      <c r="A44">
        <v>84</v>
      </c>
      <c r="B44" t="s">
        <v>65</v>
      </c>
      <c r="C44">
        <v>18</v>
      </c>
      <c r="D44" t="s">
        <v>12</v>
      </c>
      <c r="E44" t="s">
        <v>21</v>
      </c>
      <c r="F44">
        <v>5470</v>
      </c>
      <c r="G44" s="1">
        <v>42909</v>
      </c>
      <c r="H44">
        <v>3</v>
      </c>
      <c r="I44">
        <v>8</v>
      </c>
      <c r="J44" t="s">
        <v>18</v>
      </c>
      <c r="K44" t="s">
        <v>19</v>
      </c>
    </row>
    <row r="45" spans="1:11" x14ac:dyDescent="0.3">
      <c r="A45">
        <v>85</v>
      </c>
      <c r="B45" t="s">
        <v>66</v>
      </c>
      <c r="C45">
        <v>39</v>
      </c>
      <c r="D45" t="s">
        <v>16</v>
      </c>
      <c r="E45" t="s">
        <v>17</v>
      </c>
      <c r="F45">
        <v>3115</v>
      </c>
      <c r="G45" s="1">
        <v>44013</v>
      </c>
      <c r="H45">
        <v>4</v>
      </c>
      <c r="I45">
        <v>4</v>
      </c>
      <c r="J45" t="s">
        <v>23</v>
      </c>
      <c r="K45" t="s">
        <v>19</v>
      </c>
    </row>
    <row r="46" spans="1:11" x14ac:dyDescent="0.3">
      <c r="A46">
        <v>86</v>
      </c>
      <c r="B46" t="s">
        <v>67</v>
      </c>
      <c r="C46">
        <v>29</v>
      </c>
      <c r="D46" t="s">
        <v>16</v>
      </c>
      <c r="E46" t="s">
        <v>21</v>
      </c>
      <c r="F46">
        <v>9901</v>
      </c>
      <c r="G46" s="1">
        <v>43012</v>
      </c>
      <c r="H46">
        <v>2</v>
      </c>
      <c r="I46">
        <v>7</v>
      </c>
      <c r="J46" t="s">
        <v>18</v>
      </c>
      <c r="K46" t="s">
        <v>19</v>
      </c>
    </row>
    <row r="47" spans="1:11" x14ac:dyDescent="0.3">
      <c r="A47">
        <v>88</v>
      </c>
      <c r="B47" t="s">
        <v>68</v>
      </c>
      <c r="C47">
        <v>28</v>
      </c>
      <c r="D47" t="s">
        <v>12</v>
      </c>
      <c r="E47" t="s">
        <v>17</v>
      </c>
      <c r="F47">
        <v>6839</v>
      </c>
      <c r="G47" s="1">
        <v>44933</v>
      </c>
      <c r="I47">
        <v>4</v>
      </c>
      <c r="J47" t="s">
        <v>18</v>
      </c>
      <c r="K47" t="s">
        <v>19</v>
      </c>
    </row>
    <row r="48" spans="1:11" x14ac:dyDescent="0.3">
      <c r="A48">
        <v>91</v>
      </c>
      <c r="B48" t="s">
        <v>69</v>
      </c>
      <c r="C48">
        <v>31</v>
      </c>
      <c r="D48" t="s">
        <v>26</v>
      </c>
      <c r="E48" t="s">
        <v>13</v>
      </c>
      <c r="F48">
        <v>3488</v>
      </c>
      <c r="G48" s="1">
        <v>45001</v>
      </c>
      <c r="H48">
        <v>1</v>
      </c>
      <c r="I48">
        <v>3</v>
      </c>
      <c r="J48" t="s">
        <v>14</v>
      </c>
      <c r="K48" t="s">
        <v>20</v>
      </c>
    </row>
    <row r="49" spans="1:11" x14ac:dyDescent="0.3">
      <c r="A49">
        <v>92</v>
      </c>
      <c r="B49" t="s">
        <v>70</v>
      </c>
      <c r="C49">
        <v>58</v>
      </c>
      <c r="D49" t="s">
        <v>16</v>
      </c>
      <c r="E49" t="s">
        <v>21</v>
      </c>
      <c r="F49">
        <v>5271</v>
      </c>
      <c r="G49" s="1">
        <v>45280</v>
      </c>
      <c r="I49">
        <v>7</v>
      </c>
      <c r="J49" t="s">
        <v>23</v>
      </c>
      <c r="K49" t="s">
        <v>15</v>
      </c>
    </row>
    <row r="50" spans="1:11" x14ac:dyDescent="0.3">
      <c r="A50">
        <v>94</v>
      </c>
      <c r="B50" t="s">
        <v>71</v>
      </c>
      <c r="C50">
        <v>21</v>
      </c>
      <c r="D50" t="s">
        <v>12</v>
      </c>
      <c r="E50" t="s">
        <v>21</v>
      </c>
      <c r="F50">
        <v>2860</v>
      </c>
      <c r="G50" s="1">
        <v>44963</v>
      </c>
      <c r="H50">
        <v>4</v>
      </c>
      <c r="I50">
        <v>4</v>
      </c>
      <c r="J50" t="s">
        <v>18</v>
      </c>
      <c r="K50" t="s">
        <v>15</v>
      </c>
    </row>
    <row r="51" spans="1:11" x14ac:dyDescent="0.3">
      <c r="A51">
        <v>95</v>
      </c>
      <c r="B51" t="s">
        <v>72</v>
      </c>
      <c r="C51">
        <v>62</v>
      </c>
      <c r="D51" t="s">
        <v>26</v>
      </c>
      <c r="E51" t="s">
        <v>17</v>
      </c>
      <c r="F51">
        <v>3482</v>
      </c>
      <c r="G51" s="1">
        <v>43129</v>
      </c>
      <c r="H51">
        <v>3</v>
      </c>
      <c r="I51">
        <v>20</v>
      </c>
      <c r="J51" t="s">
        <v>14</v>
      </c>
      <c r="K51" t="s">
        <v>15</v>
      </c>
    </row>
    <row r="52" spans="1:11" x14ac:dyDescent="0.3">
      <c r="A52">
        <v>96</v>
      </c>
      <c r="B52" t="s">
        <v>73</v>
      </c>
      <c r="C52">
        <v>45</v>
      </c>
      <c r="D52" t="s">
        <v>16</v>
      </c>
      <c r="E52" t="s">
        <v>13</v>
      </c>
      <c r="F52">
        <v>3427</v>
      </c>
      <c r="G52" s="1">
        <v>45451</v>
      </c>
      <c r="I52">
        <v>8</v>
      </c>
      <c r="J52" t="s">
        <v>23</v>
      </c>
      <c r="K52" t="s">
        <v>19</v>
      </c>
    </row>
    <row r="53" spans="1:11" x14ac:dyDescent="0.3">
      <c r="A53">
        <v>101</v>
      </c>
      <c r="B53" t="s">
        <v>74</v>
      </c>
      <c r="C53">
        <v>26</v>
      </c>
      <c r="D53" t="s">
        <v>12</v>
      </c>
      <c r="E53" t="s">
        <v>21</v>
      </c>
      <c r="F53">
        <v>9538</v>
      </c>
      <c r="G53" s="1">
        <v>44219</v>
      </c>
      <c r="I53">
        <v>3</v>
      </c>
      <c r="J53" t="s">
        <v>14</v>
      </c>
      <c r="K53" t="s">
        <v>20</v>
      </c>
    </row>
    <row r="54" spans="1:11" x14ac:dyDescent="0.3">
      <c r="A54">
        <v>103</v>
      </c>
      <c r="B54" t="s">
        <v>75</v>
      </c>
      <c r="C54">
        <v>34</v>
      </c>
      <c r="D54" t="s">
        <v>16</v>
      </c>
      <c r="E54" t="s">
        <v>21</v>
      </c>
      <c r="F54">
        <v>6742</v>
      </c>
      <c r="G54" s="1">
        <v>43724</v>
      </c>
      <c r="I54">
        <v>8</v>
      </c>
      <c r="J54" t="s">
        <v>18</v>
      </c>
      <c r="K54" t="s">
        <v>15</v>
      </c>
    </row>
    <row r="55" spans="1:11" x14ac:dyDescent="0.3">
      <c r="A55">
        <v>104</v>
      </c>
      <c r="B55" t="s">
        <v>76</v>
      </c>
      <c r="C55">
        <v>32</v>
      </c>
      <c r="D55" t="s">
        <v>26</v>
      </c>
      <c r="E55" t="s">
        <v>13</v>
      </c>
      <c r="F55">
        <v>6458</v>
      </c>
      <c r="G55" s="1">
        <v>45010</v>
      </c>
      <c r="H55">
        <v>5</v>
      </c>
      <c r="I55">
        <v>7</v>
      </c>
      <c r="J55" t="s">
        <v>23</v>
      </c>
      <c r="K55" t="s">
        <v>19</v>
      </c>
    </row>
    <row r="56" spans="1:11" x14ac:dyDescent="0.3">
      <c r="A56">
        <v>105</v>
      </c>
      <c r="B56" t="s">
        <v>77</v>
      </c>
      <c r="C56">
        <v>31</v>
      </c>
      <c r="D56" t="s">
        <v>12</v>
      </c>
      <c r="E56" t="s">
        <v>13</v>
      </c>
      <c r="F56">
        <v>2752</v>
      </c>
      <c r="G56" s="1">
        <v>44314</v>
      </c>
      <c r="H56">
        <v>5</v>
      </c>
      <c r="I56">
        <v>6</v>
      </c>
      <c r="J56" t="s">
        <v>23</v>
      </c>
      <c r="K56" t="s">
        <v>15</v>
      </c>
    </row>
    <row r="57" spans="1:11" x14ac:dyDescent="0.3">
      <c r="A57">
        <v>107</v>
      </c>
      <c r="B57" t="s">
        <v>78</v>
      </c>
      <c r="C57">
        <v>21</v>
      </c>
      <c r="D57" t="s">
        <v>16</v>
      </c>
      <c r="E57" t="s">
        <v>17</v>
      </c>
      <c r="F57">
        <v>5133</v>
      </c>
      <c r="G57" s="1">
        <v>43088</v>
      </c>
      <c r="I57">
        <v>11</v>
      </c>
      <c r="J57" t="s">
        <v>18</v>
      </c>
      <c r="K57" t="s">
        <v>19</v>
      </c>
    </row>
    <row r="58" spans="1:11" x14ac:dyDescent="0.3">
      <c r="A58">
        <v>108</v>
      </c>
      <c r="B58" t="s">
        <v>79</v>
      </c>
      <c r="C58">
        <v>24</v>
      </c>
      <c r="D58" t="s">
        <v>26</v>
      </c>
      <c r="E58" t="s">
        <v>21</v>
      </c>
      <c r="F58">
        <v>2578</v>
      </c>
      <c r="G58" s="1">
        <v>43470</v>
      </c>
      <c r="H58">
        <v>5</v>
      </c>
      <c r="I58">
        <v>16</v>
      </c>
      <c r="J58" t="s">
        <v>23</v>
      </c>
      <c r="K58" t="s">
        <v>20</v>
      </c>
    </row>
    <row r="59" spans="1:11" x14ac:dyDescent="0.3">
      <c r="A59">
        <v>109</v>
      </c>
      <c r="B59" t="s">
        <v>80</v>
      </c>
      <c r="C59">
        <v>51</v>
      </c>
      <c r="D59" t="s">
        <v>26</v>
      </c>
      <c r="E59" t="s">
        <v>13</v>
      </c>
      <c r="F59">
        <v>7457</v>
      </c>
      <c r="G59" s="1">
        <v>43579</v>
      </c>
      <c r="I59">
        <v>15</v>
      </c>
      <c r="J59" t="s">
        <v>18</v>
      </c>
      <c r="K59" t="s">
        <v>15</v>
      </c>
    </row>
    <row r="60" spans="1:11" x14ac:dyDescent="0.3">
      <c r="A60">
        <v>110</v>
      </c>
      <c r="B60" t="s">
        <v>81</v>
      </c>
      <c r="C60">
        <v>58</v>
      </c>
      <c r="D60" t="s">
        <v>12</v>
      </c>
      <c r="E60" t="s">
        <v>17</v>
      </c>
      <c r="F60">
        <v>7263</v>
      </c>
      <c r="G60" s="1">
        <v>43079</v>
      </c>
      <c r="I60">
        <v>20</v>
      </c>
      <c r="J60" t="s">
        <v>14</v>
      </c>
      <c r="K60" t="s">
        <v>20</v>
      </c>
    </row>
    <row r="61" spans="1:11" x14ac:dyDescent="0.3">
      <c r="A61">
        <v>113</v>
      </c>
      <c r="B61" t="s">
        <v>82</v>
      </c>
      <c r="C61">
        <v>34</v>
      </c>
      <c r="D61" t="s">
        <v>16</v>
      </c>
      <c r="E61" t="s">
        <v>21</v>
      </c>
      <c r="F61">
        <v>9812</v>
      </c>
      <c r="G61" s="1">
        <v>42398</v>
      </c>
      <c r="H61">
        <v>3</v>
      </c>
      <c r="I61">
        <v>13</v>
      </c>
      <c r="J61" t="s">
        <v>14</v>
      </c>
      <c r="K61" t="s">
        <v>19</v>
      </c>
    </row>
    <row r="62" spans="1:11" x14ac:dyDescent="0.3">
      <c r="A62">
        <v>114</v>
      </c>
      <c r="B62" t="s">
        <v>83</v>
      </c>
      <c r="C62">
        <v>65</v>
      </c>
      <c r="D62" t="s">
        <v>16</v>
      </c>
      <c r="E62" t="s">
        <v>17</v>
      </c>
      <c r="F62">
        <v>4940</v>
      </c>
      <c r="G62" s="1">
        <v>44281</v>
      </c>
      <c r="H62">
        <v>2</v>
      </c>
      <c r="I62">
        <v>11</v>
      </c>
      <c r="J62" t="s">
        <v>18</v>
      </c>
      <c r="K62" t="s">
        <v>19</v>
      </c>
    </row>
    <row r="63" spans="1:11" x14ac:dyDescent="0.3">
      <c r="A63">
        <v>120</v>
      </c>
      <c r="B63" t="s">
        <v>84</v>
      </c>
      <c r="C63">
        <v>22</v>
      </c>
      <c r="D63" t="s">
        <v>26</v>
      </c>
      <c r="E63" t="s">
        <v>13</v>
      </c>
      <c r="F63">
        <v>7187</v>
      </c>
      <c r="G63" s="1">
        <v>45317</v>
      </c>
      <c r="I63">
        <v>1</v>
      </c>
      <c r="J63" t="s">
        <v>14</v>
      </c>
      <c r="K63" t="s">
        <v>20</v>
      </c>
    </row>
    <row r="64" spans="1:11" x14ac:dyDescent="0.3">
      <c r="A64">
        <v>122</v>
      </c>
      <c r="B64" t="s">
        <v>85</v>
      </c>
      <c r="C64">
        <v>25</v>
      </c>
      <c r="D64" t="s">
        <v>26</v>
      </c>
      <c r="E64" t="s">
        <v>21</v>
      </c>
      <c r="F64">
        <v>5121</v>
      </c>
      <c r="G64" s="1">
        <v>43994</v>
      </c>
      <c r="I64">
        <v>1</v>
      </c>
      <c r="J64" t="s">
        <v>23</v>
      </c>
      <c r="K64" t="s">
        <v>15</v>
      </c>
    </row>
    <row r="65" spans="1:11" x14ac:dyDescent="0.3">
      <c r="A65">
        <v>124</v>
      </c>
      <c r="B65" t="s">
        <v>86</v>
      </c>
      <c r="C65">
        <v>24</v>
      </c>
      <c r="D65" t="s">
        <v>12</v>
      </c>
      <c r="E65" t="s">
        <v>17</v>
      </c>
      <c r="F65">
        <v>5287</v>
      </c>
      <c r="G65" s="1">
        <v>43167</v>
      </c>
      <c r="H65">
        <v>2</v>
      </c>
      <c r="I65">
        <v>1</v>
      </c>
      <c r="J65" t="s">
        <v>14</v>
      </c>
      <c r="K65" t="s">
        <v>19</v>
      </c>
    </row>
    <row r="66" spans="1:11" x14ac:dyDescent="0.3">
      <c r="A66">
        <v>125</v>
      </c>
      <c r="B66" t="s">
        <v>87</v>
      </c>
      <c r="C66">
        <v>23</v>
      </c>
      <c r="D66" t="s">
        <v>26</v>
      </c>
      <c r="E66" t="s">
        <v>17</v>
      </c>
      <c r="F66">
        <v>3754</v>
      </c>
      <c r="G66" s="1">
        <v>44850</v>
      </c>
      <c r="I66">
        <v>8</v>
      </c>
      <c r="J66" t="s">
        <v>23</v>
      </c>
      <c r="K66" t="s">
        <v>19</v>
      </c>
    </row>
    <row r="67" spans="1:11" x14ac:dyDescent="0.3">
      <c r="A67">
        <v>126</v>
      </c>
      <c r="B67" t="s">
        <v>88</v>
      </c>
      <c r="C67">
        <v>38</v>
      </c>
      <c r="D67" t="s">
        <v>16</v>
      </c>
      <c r="E67" t="s">
        <v>21</v>
      </c>
      <c r="F67">
        <v>2358</v>
      </c>
      <c r="G67" s="1">
        <v>42729</v>
      </c>
      <c r="H67">
        <v>3</v>
      </c>
      <c r="I67">
        <v>14</v>
      </c>
      <c r="J67" t="s">
        <v>14</v>
      </c>
      <c r="K67" t="s">
        <v>20</v>
      </c>
    </row>
    <row r="68" spans="1:11" x14ac:dyDescent="0.3">
      <c r="A68">
        <v>127</v>
      </c>
      <c r="B68" t="s">
        <v>89</v>
      </c>
      <c r="C68">
        <v>65</v>
      </c>
      <c r="D68" t="s">
        <v>16</v>
      </c>
      <c r="E68" t="s">
        <v>17</v>
      </c>
      <c r="F68">
        <v>8122</v>
      </c>
      <c r="G68" s="1">
        <v>42335</v>
      </c>
      <c r="I68">
        <v>15</v>
      </c>
      <c r="J68" t="s">
        <v>18</v>
      </c>
      <c r="K68" t="s">
        <v>15</v>
      </c>
    </row>
    <row r="69" spans="1:11" x14ac:dyDescent="0.3">
      <c r="A69">
        <v>129</v>
      </c>
      <c r="B69" t="s">
        <v>90</v>
      </c>
      <c r="C69">
        <v>28</v>
      </c>
      <c r="D69" t="s">
        <v>16</v>
      </c>
      <c r="E69" t="s">
        <v>21</v>
      </c>
      <c r="F69">
        <v>2488</v>
      </c>
      <c r="G69" s="1">
        <v>43486</v>
      </c>
      <c r="I69">
        <v>6</v>
      </c>
      <c r="J69" t="s">
        <v>18</v>
      </c>
      <c r="K69" t="s">
        <v>20</v>
      </c>
    </row>
    <row r="70" spans="1:11" x14ac:dyDescent="0.3">
      <c r="A70">
        <v>131</v>
      </c>
      <c r="B70" t="s">
        <v>91</v>
      </c>
      <c r="C70">
        <v>64</v>
      </c>
      <c r="D70" t="s">
        <v>16</v>
      </c>
      <c r="E70" t="s">
        <v>21</v>
      </c>
      <c r="F70">
        <v>7647</v>
      </c>
      <c r="G70" s="1">
        <v>44384</v>
      </c>
      <c r="I70">
        <v>8</v>
      </c>
      <c r="J70" t="s">
        <v>18</v>
      </c>
      <c r="K70" t="s">
        <v>19</v>
      </c>
    </row>
    <row r="71" spans="1:11" x14ac:dyDescent="0.3">
      <c r="A71">
        <v>138</v>
      </c>
      <c r="B71" t="s">
        <v>92</v>
      </c>
      <c r="C71">
        <v>34</v>
      </c>
      <c r="D71" t="s">
        <v>12</v>
      </c>
      <c r="E71" t="s">
        <v>17</v>
      </c>
      <c r="F71">
        <v>4286</v>
      </c>
      <c r="G71" s="1">
        <v>43968</v>
      </c>
      <c r="I71">
        <v>7</v>
      </c>
      <c r="J71" t="s">
        <v>23</v>
      </c>
      <c r="K71" t="s">
        <v>20</v>
      </c>
    </row>
    <row r="72" spans="1:11" x14ac:dyDescent="0.3">
      <c r="A72">
        <v>145</v>
      </c>
      <c r="B72" t="s">
        <v>93</v>
      </c>
      <c r="C72">
        <v>25</v>
      </c>
      <c r="D72" t="s">
        <v>16</v>
      </c>
      <c r="E72" t="s">
        <v>13</v>
      </c>
      <c r="F72">
        <v>3003</v>
      </c>
      <c r="G72" s="1">
        <v>43599</v>
      </c>
      <c r="H72">
        <v>1</v>
      </c>
      <c r="I72">
        <v>19</v>
      </c>
      <c r="J72" t="s">
        <v>14</v>
      </c>
      <c r="K72" t="s">
        <v>20</v>
      </c>
    </row>
    <row r="73" spans="1:11" x14ac:dyDescent="0.3">
      <c r="A73">
        <v>147</v>
      </c>
      <c r="B73" t="s">
        <v>94</v>
      </c>
      <c r="C73">
        <v>22</v>
      </c>
      <c r="D73" t="s">
        <v>16</v>
      </c>
      <c r="E73" t="s">
        <v>21</v>
      </c>
      <c r="F73">
        <v>8152</v>
      </c>
      <c r="G73" s="1">
        <v>43130</v>
      </c>
      <c r="I73">
        <v>4</v>
      </c>
      <c r="J73" t="s">
        <v>14</v>
      </c>
      <c r="K73" t="s">
        <v>19</v>
      </c>
    </row>
    <row r="74" spans="1:11" x14ac:dyDescent="0.3">
      <c r="A74">
        <v>152</v>
      </c>
      <c r="B74" t="s">
        <v>95</v>
      </c>
      <c r="C74">
        <v>58</v>
      </c>
      <c r="D74" t="s">
        <v>26</v>
      </c>
      <c r="E74" t="s">
        <v>17</v>
      </c>
      <c r="F74">
        <v>2621</v>
      </c>
      <c r="G74" s="1">
        <v>43338</v>
      </c>
      <c r="I74">
        <v>16</v>
      </c>
      <c r="J74" t="s">
        <v>14</v>
      </c>
      <c r="K74" t="s">
        <v>19</v>
      </c>
    </row>
    <row r="75" spans="1:11" x14ac:dyDescent="0.3">
      <c r="A75">
        <v>157</v>
      </c>
      <c r="B75" t="s">
        <v>96</v>
      </c>
      <c r="C75">
        <v>43</v>
      </c>
      <c r="D75" t="s">
        <v>12</v>
      </c>
      <c r="E75" t="s">
        <v>13</v>
      </c>
      <c r="F75">
        <v>4710</v>
      </c>
      <c r="G75" s="1">
        <v>44373</v>
      </c>
      <c r="H75">
        <v>1</v>
      </c>
      <c r="I75">
        <v>16</v>
      </c>
      <c r="J75" t="s">
        <v>14</v>
      </c>
      <c r="K75" t="s">
        <v>15</v>
      </c>
    </row>
    <row r="76" spans="1:11" x14ac:dyDescent="0.3">
      <c r="A76">
        <v>158</v>
      </c>
      <c r="B76" t="s">
        <v>97</v>
      </c>
      <c r="C76">
        <v>19</v>
      </c>
      <c r="D76" t="s">
        <v>16</v>
      </c>
      <c r="E76" t="s">
        <v>13</v>
      </c>
      <c r="F76">
        <v>4527</v>
      </c>
      <c r="G76" s="1">
        <v>42122</v>
      </c>
      <c r="H76">
        <v>3</v>
      </c>
      <c r="I76">
        <v>14</v>
      </c>
      <c r="J76" t="s">
        <v>23</v>
      </c>
      <c r="K76" t="s">
        <v>15</v>
      </c>
    </row>
    <row r="77" spans="1:11" x14ac:dyDescent="0.3">
      <c r="A77">
        <v>160</v>
      </c>
      <c r="B77" t="s">
        <v>98</v>
      </c>
      <c r="C77">
        <v>26</v>
      </c>
      <c r="D77" t="s">
        <v>26</v>
      </c>
      <c r="E77" t="s">
        <v>13</v>
      </c>
      <c r="F77">
        <v>6157</v>
      </c>
      <c r="G77" s="1">
        <v>43220</v>
      </c>
      <c r="I77">
        <v>15</v>
      </c>
      <c r="J77" t="s">
        <v>14</v>
      </c>
      <c r="K77" t="s">
        <v>15</v>
      </c>
    </row>
    <row r="78" spans="1:11" x14ac:dyDescent="0.3">
      <c r="A78">
        <v>163</v>
      </c>
      <c r="B78" t="s">
        <v>99</v>
      </c>
      <c r="C78">
        <v>32</v>
      </c>
      <c r="D78" t="s">
        <v>26</v>
      </c>
      <c r="E78" t="s">
        <v>21</v>
      </c>
      <c r="F78">
        <v>8958</v>
      </c>
      <c r="G78" s="1">
        <v>42809</v>
      </c>
      <c r="I78">
        <v>17</v>
      </c>
      <c r="J78" t="s">
        <v>18</v>
      </c>
      <c r="K78" t="s">
        <v>20</v>
      </c>
    </row>
    <row r="79" spans="1:11" x14ac:dyDescent="0.3">
      <c r="A79">
        <v>168</v>
      </c>
      <c r="B79" t="s">
        <v>100</v>
      </c>
      <c r="C79">
        <v>56</v>
      </c>
      <c r="D79" t="s">
        <v>26</v>
      </c>
      <c r="E79" t="s">
        <v>21</v>
      </c>
      <c r="F79">
        <v>6006</v>
      </c>
      <c r="G79" s="1">
        <v>45220</v>
      </c>
      <c r="I79">
        <v>4</v>
      </c>
      <c r="J79" t="s">
        <v>14</v>
      </c>
      <c r="K79" t="s">
        <v>20</v>
      </c>
    </row>
    <row r="80" spans="1:11" x14ac:dyDescent="0.3">
      <c r="A80">
        <v>170</v>
      </c>
      <c r="B80" t="s">
        <v>101</v>
      </c>
      <c r="C80">
        <v>24</v>
      </c>
      <c r="D80" t="s">
        <v>16</v>
      </c>
      <c r="E80" t="s">
        <v>17</v>
      </c>
      <c r="F80">
        <v>6041</v>
      </c>
      <c r="G80" s="1">
        <v>45633</v>
      </c>
      <c r="H80">
        <v>2</v>
      </c>
      <c r="I80">
        <v>4</v>
      </c>
      <c r="J80" t="s">
        <v>14</v>
      </c>
      <c r="K80" t="s">
        <v>15</v>
      </c>
    </row>
    <row r="81" spans="1:11" x14ac:dyDescent="0.3">
      <c r="A81">
        <v>171</v>
      </c>
      <c r="B81" t="s">
        <v>102</v>
      </c>
      <c r="C81">
        <v>48</v>
      </c>
      <c r="D81" t="s">
        <v>12</v>
      </c>
      <c r="E81" t="s">
        <v>17</v>
      </c>
      <c r="F81">
        <v>2913</v>
      </c>
      <c r="G81" s="1">
        <v>44169</v>
      </c>
      <c r="H81">
        <v>2</v>
      </c>
      <c r="I81">
        <v>6</v>
      </c>
      <c r="J81" t="s">
        <v>14</v>
      </c>
      <c r="K81" t="s">
        <v>19</v>
      </c>
    </row>
    <row r="82" spans="1:11" x14ac:dyDescent="0.3">
      <c r="A82">
        <v>173</v>
      </c>
      <c r="B82" t="s">
        <v>103</v>
      </c>
      <c r="C82">
        <v>19</v>
      </c>
      <c r="D82" t="s">
        <v>16</v>
      </c>
      <c r="E82" t="s">
        <v>17</v>
      </c>
      <c r="F82">
        <v>6735</v>
      </c>
      <c r="G82" s="1">
        <v>44587</v>
      </c>
      <c r="I82">
        <v>12</v>
      </c>
      <c r="J82" t="s">
        <v>18</v>
      </c>
      <c r="K82" t="s">
        <v>20</v>
      </c>
    </row>
    <row r="83" spans="1:11" x14ac:dyDescent="0.3">
      <c r="A83">
        <v>175</v>
      </c>
      <c r="B83" t="s">
        <v>104</v>
      </c>
      <c r="C83">
        <v>46</v>
      </c>
      <c r="D83" t="s">
        <v>16</v>
      </c>
      <c r="E83" t="s">
        <v>17</v>
      </c>
      <c r="F83">
        <v>8354</v>
      </c>
      <c r="G83" s="1">
        <v>42303</v>
      </c>
      <c r="I83">
        <v>10</v>
      </c>
      <c r="J83" t="s">
        <v>18</v>
      </c>
      <c r="K83" t="s">
        <v>15</v>
      </c>
    </row>
    <row r="84" spans="1:11" x14ac:dyDescent="0.3">
      <c r="A84">
        <v>176</v>
      </c>
      <c r="B84" t="s">
        <v>105</v>
      </c>
      <c r="C84">
        <v>32</v>
      </c>
      <c r="D84" t="s">
        <v>12</v>
      </c>
      <c r="E84" t="s">
        <v>17</v>
      </c>
      <c r="F84">
        <v>5224</v>
      </c>
      <c r="G84" s="1">
        <v>43492</v>
      </c>
      <c r="I84">
        <v>15</v>
      </c>
      <c r="J84" t="s">
        <v>18</v>
      </c>
      <c r="K84" t="s">
        <v>19</v>
      </c>
    </row>
    <row r="85" spans="1:11" x14ac:dyDescent="0.3">
      <c r="A85">
        <v>178</v>
      </c>
      <c r="B85" t="s">
        <v>106</v>
      </c>
      <c r="C85">
        <v>52</v>
      </c>
      <c r="D85" t="s">
        <v>26</v>
      </c>
      <c r="E85" t="s">
        <v>17</v>
      </c>
      <c r="F85">
        <v>8899</v>
      </c>
      <c r="G85" s="1">
        <v>42381</v>
      </c>
      <c r="I85">
        <v>17</v>
      </c>
      <c r="J85" t="s">
        <v>23</v>
      </c>
      <c r="K85" t="s">
        <v>19</v>
      </c>
    </row>
    <row r="86" spans="1:11" x14ac:dyDescent="0.3">
      <c r="A86">
        <v>180</v>
      </c>
      <c r="B86" t="s">
        <v>107</v>
      </c>
      <c r="C86">
        <v>34</v>
      </c>
      <c r="D86" t="s">
        <v>16</v>
      </c>
      <c r="E86" t="s">
        <v>21</v>
      </c>
      <c r="F86">
        <v>3671</v>
      </c>
      <c r="G86" s="1">
        <v>44324</v>
      </c>
      <c r="I86">
        <v>16</v>
      </c>
      <c r="J86" t="s">
        <v>18</v>
      </c>
      <c r="K86" t="s">
        <v>15</v>
      </c>
    </row>
    <row r="87" spans="1:11" x14ac:dyDescent="0.3">
      <c r="A87">
        <v>181</v>
      </c>
      <c r="B87" t="s">
        <v>108</v>
      </c>
      <c r="C87">
        <v>33</v>
      </c>
      <c r="D87" t="s">
        <v>26</v>
      </c>
      <c r="E87" t="s">
        <v>13</v>
      </c>
      <c r="F87">
        <v>6833</v>
      </c>
      <c r="G87" s="1">
        <v>42039</v>
      </c>
      <c r="I87">
        <v>16</v>
      </c>
      <c r="J87" t="s">
        <v>14</v>
      </c>
      <c r="K87" t="s">
        <v>15</v>
      </c>
    </row>
    <row r="88" spans="1:11" x14ac:dyDescent="0.3">
      <c r="A88">
        <v>183</v>
      </c>
      <c r="B88" t="s">
        <v>109</v>
      </c>
      <c r="C88">
        <v>45</v>
      </c>
      <c r="D88" t="s">
        <v>26</v>
      </c>
      <c r="E88" t="s">
        <v>21</v>
      </c>
      <c r="F88">
        <v>3979</v>
      </c>
      <c r="G88" s="1">
        <v>45358</v>
      </c>
      <c r="H88">
        <v>3</v>
      </c>
      <c r="I88">
        <v>12</v>
      </c>
      <c r="J88" t="s">
        <v>14</v>
      </c>
      <c r="K88" t="s">
        <v>19</v>
      </c>
    </row>
    <row r="89" spans="1:11" x14ac:dyDescent="0.3">
      <c r="A89">
        <v>184</v>
      </c>
      <c r="B89" t="s">
        <v>110</v>
      </c>
      <c r="C89">
        <v>22</v>
      </c>
      <c r="D89" t="s">
        <v>26</v>
      </c>
      <c r="E89" t="s">
        <v>17</v>
      </c>
      <c r="F89">
        <v>8840</v>
      </c>
      <c r="G89" s="1">
        <v>44943</v>
      </c>
      <c r="I89">
        <v>17</v>
      </c>
      <c r="J89" t="s">
        <v>14</v>
      </c>
      <c r="K89" t="s">
        <v>19</v>
      </c>
    </row>
    <row r="90" spans="1:11" x14ac:dyDescent="0.3">
      <c r="A90">
        <v>187</v>
      </c>
      <c r="B90" t="s">
        <v>111</v>
      </c>
      <c r="C90">
        <v>48</v>
      </c>
      <c r="D90" t="s">
        <v>12</v>
      </c>
      <c r="E90" t="s">
        <v>13</v>
      </c>
      <c r="F90">
        <v>3064</v>
      </c>
      <c r="G90" s="1">
        <v>45164</v>
      </c>
      <c r="H90">
        <v>4</v>
      </c>
      <c r="I90">
        <v>11</v>
      </c>
      <c r="J90" t="s">
        <v>14</v>
      </c>
      <c r="K90" t="s">
        <v>19</v>
      </c>
    </row>
    <row r="91" spans="1:11" x14ac:dyDescent="0.3">
      <c r="A91">
        <v>188</v>
      </c>
      <c r="B91" t="s">
        <v>112</v>
      </c>
      <c r="C91">
        <v>39</v>
      </c>
      <c r="D91" t="s">
        <v>16</v>
      </c>
      <c r="E91" t="s">
        <v>13</v>
      </c>
      <c r="F91">
        <v>2149</v>
      </c>
      <c r="G91" s="1">
        <v>45056</v>
      </c>
      <c r="H91">
        <v>4</v>
      </c>
      <c r="I91">
        <v>17</v>
      </c>
      <c r="J91" t="s">
        <v>14</v>
      </c>
      <c r="K91" t="s">
        <v>15</v>
      </c>
    </row>
    <row r="92" spans="1:11" x14ac:dyDescent="0.3">
      <c r="A92">
        <v>189</v>
      </c>
      <c r="B92" t="s">
        <v>113</v>
      </c>
      <c r="C92">
        <v>50</v>
      </c>
      <c r="D92" t="s">
        <v>16</v>
      </c>
      <c r="E92" t="s">
        <v>21</v>
      </c>
      <c r="F92">
        <v>3737</v>
      </c>
      <c r="G92" s="1">
        <v>44415</v>
      </c>
      <c r="I92">
        <v>4</v>
      </c>
      <c r="J92" t="s">
        <v>14</v>
      </c>
      <c r="K92" t="s">
        <v>19</v>
      </c>
    </row>
    <row r="93" spans="1:11" x14ac:dyDescent="0.3">
      <c r="A93">
        <v>190</v>
      </c>
      <c r="B93" t="s">
        <v>114</v>
      </c>
      <c r="C93">
        <v>21</v>
      </c>
      <c r="D93" t="s">
        <v>12</v>
      </c>
      <c r="E93" t="s">
        <v>13</v>
      </c>
      <c r="F93">
        <v>7708</v>
      </c>
      <c r="G93" s="1">
        <v>44510</v>
      </c>
      <c r="I93">
        <v>20</v>
      </c>
      <c r="J93" t="s">
        <v>18</v>
      </c>
      <c r="K93" t="s">
        <v>15</v>
      </c>
    </row>
    <row r="94" spans="1:11" x14ac:dyDescent="0.3">
      <c r="A94">
        <v>191</v>
      </c>
      <c r="B94" t="s">
        <v>115</v>
      </c>
      <c r="C94">
        <v>25</v>
      </c>
      <c r="D94" t="s">
        <v>12</v>
      </c>
      <c r="E94" t="s">
        <v>21</v>
      </c>
      <c r="F94">
        <v>9374</v>
      </c>
      <c r="G94" s="1">
        <v>43699</v>
      </c>
      <c r="I94">
        <v>15</v>
      </c>
      <c r="J94" t="s">
        <v>14</v>
      </c>
      <c r="K94" t="s">
        <v>19</v>
      </c>
    </row>
    <row r="95" spans="1:11" x14ac:dyDescent="0.3">
      <c r="A95">
        <v>193</v>
      </c>
      <c r="B95" t="s">
        <v>116</v>
      </c>
      <c r="C95">
        <v>29</v>
      </c>
      <c r="D95" t="s">
        <v>16</v>
      </c>
      <c r="E95" t="s">
        <v>13</v>
      </c>
      <c r="F95">
        <v>2776</v>
      </c>
      <c r="G95" s="1">
        <v>44251</v>
      </c>
      <c r="H95">
        <v>2</v>
      </c>
      <c r="I95">
        <v>1</v>
      </c>
      <c r="J95" t="s">
        <v>23</v>
      </c>
      <c r="K95" t="s">
        <v>15</v>
      </c>
    </row>
    <row r="96" spans="1:11" x14ac:dyDescent="0.3">
      <c r="A96">
        <v>194</v>
      </c>
      <c r="B96" t="s">
        <v>117</v>
      </c>
      <c r="C96">
        <v>54</v>
      </c>
      <c r="D96" t="s">
        <v>16</v>
      </c>
      <c r="E96" t="s">
        <v>21</v>
      </c>
      <c r="F96">
        <v>4678</v>
      </c>
      <c r="G96" s="1">
        <v>43483</v>
      </c>
      <c r="H96">
        <v>4</v>
      </c>
      <c r="I96">
        <v>6</v>
      </c>
      <c r="J96" t="s">
        <v>23</v>
      </c>
      <c r="K96" t="s">
        <v>20</v>
      </c>
    </row>
    <row r="97" spans="1:11" x14ac:dyDescent="0.3">
      <c r="A97">
        <v>195</v>
      </c>
      <c r="B97" t="s">
        <v>118</v>
      </c>
      <c r="C97">
        <v>34</v>
      </c>
      <c r="D97" t="s">
        <v>26</v>
      </c>
      <c r="E97" t="s">
        <v>13</v>
      </c>
      <c r="F97">
        <v>3397</v>
      </c>
      <c r="G97" s="1">
        <v>44737</v>
      </c>
      <c r="H97">
        <v>4</v>
      </c>
      <c r="I97">
        <v>2</v>
      </c>
      <c r="J97" t="s">
        <v>18</v>
      </c>
      <c r="K97" t="s">
        <v>19</v>
      </c>
    </row>
    <row r="98" spans="1:11" x14ac:dyDescent="0.3">
      <c r="A98">
        <v>197</v>
      </c>
      <c r="B98" t="s">
        <v>119</v>
      </c>
      <c r="C98">
        <v>22</v>
      </c>
      <c r="D98" t="s">
        <v>26</v>
      </c>
      <c r="E98" t="s">
        <v>13</v>
      </c>
      <c r="F98">
        <v>6539</v>
      </c>
      <c r="G98" s="1">
        <v>44754</v>
      </c>
      <c r="I98">
        <v>2</v>
      </c>
      <c r="J98" t="s">
        <v>18</v>
      </c>
      <c r="K98" t="s">
        <v>15</v>
      </c>
    </row>
    <row r="99" spans="1:11" x14ac:dyDescent="0.3">
      <c r="A99">
        <v>198</v>
      </c>
      <c r="B99" t="s">
        <v>120</v>
      </c>
      <c r="C99">
        <v>23</v>
      </c>
      <c r="D99" t="s">
        <v>12</v>
      </c>
      <c r="E99" t="s">
        <v>13</v>
      </c>
      <c r="F99">
        <v>3175</v>
      </c>
      <c r="G99" s="1">
        <v>44337</v>
      </c>
      <c r="I99">
        <v>9</v>
      </c>
      <c r="J99" t="s">
        <v>14</v>
      </c>
      <c r="K99" t="s">
        <v>19</v>
      </c>
    </row>
    <row r="100" spans="1:11" x14ac:dyDescent="0.3">
      <c r="A100">
        <v>201</v>
      </c>
      <c r="B100" t="s">
        <v>121</v>
      </c>
      <c r="C100">
        <v>48</v>
      </c>
      <c r="D100" t="s">
        <v>12</v>
      </c>
      <c r="E100" t="s">
        <v>13</v>
      </c>
      <c r="F100">
        <v>9930</v>
      </c>
      <c r="G100" s="1">
        <v>43681</v>
      </c>
      <c r="H100">
        <v>5</v>
      </c>
      <c r="I100">
        <v>19</v>
      </c>
      <c r="J100" t="s">
        <v>23</v>
      </c>
      <c r="K100" t="s">
        <v>20</v>
      </c>
    </row>
    <row r="101" spans="1:11" x14ac:dyDescent="0.3">
      <c r="A101">
        <v>204</v>
      </c>
      <c r="B101" t="s">
        <v>122</v>
      </c>
      <c r="C101">
        <v>28</v>
      </c>
      <c r="D101" t="s">
        <v>26</v>
      </c>
      <c r="E101" t="s">
        <v>13</v>
      </c>
      <c r="F101">
        <v>8416</v>
      </c>
      <c r="G101" s="1">
        <v>44613</v>
      </c>
      <c r="I101">
        <v>8</v>
      </c>
      <c r="J101" t="s">
        <v>18</v>
      </c>
      <c r="K101" t="s">
        <v>20</v>
      </c>
    </row>
    <row r="102" spans="1:11" x14ac:dyDescent="0.3">
      <c r="A102">
        <v>205</v>
      </c>
      <c r="B102" t="s">
        <v>123</v>
      </c>
      <c r="C102">
        <v>29</v>
      </c>
      <c r="D102" t="s">
        <v>16</v>
      </c>
      <c r="E102" t="s">
        <v>17</v>
      </c>
      <c r="F102">
        <v>5703</v>
      </c>
      <c r="G102" s="1">
        <v>43450</v>
      </c>
      <c r="H102">
        <v>2</v>
      </c>
      <c r="I102">
        <v>10</v>
      </c>
      <c r="J102" t="s">
        <v>14</v>
      </c>
      <c r="K102" t="s">
        <v>20</v>
      </c>
    </row>
    <row r="103" spans="1:11" x14ac:dyDescent="0.3">
      <c r="A103">
        <v>206</v>
      </c>
      <c r="B103" t="s">
        <v>124</v>
      </c>
      <c r="C103">
        <v>55</v>
      </c>
      <c r="D103" t="s">
        <v>12</v>
      </c>
      <c r="E103" t="s">
        <v>21</v>
      </c>
      <c r="F103">
        <v>2127</v>
      </c>
      <c r="G103" s="1">
        <v>43505</v>
      </c>
      <c r="I103">
        <v>8</v>
      </c>
      <c r="J103" t="s">
        <v>18</v>
      </c>
      <c r="K103" t="s">
        <v>19</v>
      </c>
    </row>
    <row r="104" spans="1:11" x14ac:dyDescent="0.3">
      <c r="A104">
        <v>207</v>
      </c>
      <c r="B104" t="s">
        <v>125</v>
      </c>
      <c r="C104">
        <v>43</v>
      </c>
      <c r="D104" t="s">
        <v>26</v>
      </c>
      <c r="E104" t="s">
        <v>21</v>
      </c>
      <c r="F104">
        <v>8563</v>
      </c>
      <c r="G104" s="1">
        <v>43097</v>
      </c>
      <c r="H104">
        <v>4</v>
      </c>
      <c r="I104">
        <v>11</v>
      </c>
      <c r="J104" t="s">
        <v>18</v>
      </c>
      <c r="K104" t="s">
        <v>15</v>
      </c>
    </row>
    <row r="105" spans="1:11" x14ac:dyDescent="0.3">
      <c r="A105">
        <v>208</v>
      </c>
      <c r="B105" t="s">
        <v>126</v>
      </c>
      <c r="C105">
        <v>24</v>
      </c>
      <c r="D105" t="s">
        <v>12</v>
      </c>
      <c r="E105" t="s">
        <v>21</v>
      </c>
      <c r="F105">
        <v>7539</v>
      </c>
      <c r="G105" s="1">
        <v>44232</v>
      </c>
      <c r="I105">
        <v>5</v>
      </c>
      <c r="J105" t="s">
        <v>18</v>
      </c>
      <c r="K105" t="s">
        <v>15</v>
      </c>
    </row>
    <row r="106" spans="1:11" x14ac:dyDescent="0.3">
      <c r="A106">
        <v>209</v>
      </c>
      <c r="B106" t="s">
        <v>127</v>
      </c>
      <c r="C106">
        <v>58</v>
      </c>
      <c r="D106" t="s">
        <v>16</v>
      </c>
      <c r="E106" t="s">
        <v>17</v>
      </c>
      <c r="F106">
        <v>2223</v>
      </c>
      <c r="G106" s="1">
        <v>45472</v>
      </c>
      <c r="I106">
        <v>8</v>
      </c>
      <c r="J106" t="s">
        <v>14</v>
      </c>
      <c r="K106" t="s">
        <v>20</v>
      </c>
    </row>
    <row r="107" spans="1:11" x14ac:dyDescent="0.3">
      <c r="A107">
        <v>215</v>
      </c>
      <c r="B107" t="s">
        <v>128</v>
      </c>
      <c r="C107">
        <v>65</v>
      </c>
      <c r="D107" t="s">
        <v>12</v>
      </c>
      <c r="E107" t="s">
        <v>21</v>
      </c>
      <c r="F107">
        <v>4538</v>
      </c>
      <c r="G107" s="1">
        <v>42401</v>
      </c>
      <c r="H107">
        <v>3</v>
      </c>
      <c r="I107">
        <v>8</v>
      </c>
      <c r="J107" t="s">
        <v>23</v>
      </c>
      <c r="K107" t="s">
        <v>20</v>
      </c>
    </row>
    <row r="108" spans="1:11" x14ac:dyDescent="0.3">
      <c r="A108">
        <v>216</v>
      </c>
      <c r="B108" t="s">
        <v>129</v>
      </c>
      <c r="C108">
        <v>50</v>
      </c>
      <c r="D108" t="s">
        <v>12</v>
      </c>
      <c r="E108" t="s">
        <v>17</v>
      </c>
      <c r="F108">
        <v>9377</v>
      </c>
      <c r="G108" s="1">
        <v>43754</v>
      </c>
      <c r="I108">
        <v>3</v>
      </c>
      <c r="J108" t="s">
        <v>18</v>
      </c>
      <c r="K108" t="s">
        <v>20</v>
      </c>
    </row>
    <row r="109" spans="1:11" x14ac:dyDescent="0.3">
      <c r="A109">
        <v>218</v>
      </c>
      <c r="B109" t="s">
        <v>130</v>
      </c>
      <c r="C109">
        <v>25</v>
      </c>
      <c r="D109" t="s">
        <v>26</v>
      </c>
      <c r="E109" t="s">
        <v>21</v>
      </c>
      <c r="F109">
        <v>7335</v>
      </c>
      <c r="G109" s="1">
        <v>43044</v>
      </c>
      <c r="H109">
        <v>1</v>
      </c>
      <c r="I109">
        <v>3</v>
      </c>
      <c r="J109" t="s">
        <v>18</v>
      </c>
      <c r="K109" t="s">
        <v>15</v>
      </c>
    </row>
    <row r="110" spans="1:11" x14ac:dyDescent="0.3">
      <c r="A110">
        <v>220</v>
      </c>
      <c r="B110" t="s">
        <v>131</v>
      </c>
      <c r="C110">
        <v>20</v>
      </c>
      <c r="D110" t="s">
        <v>16</v>
      </c>
      <c r="E110" t="s">
        <v>21</v>
      </c>
      <c r="F110">
        <v>4328</v>
      </c>
      <c r="G110" s="1">
        <v>43221</v>
      </c>
      <c r="H110">
        <v>2</v>
      </c>
      <c r="I110">
        <v>12</v>
      </c>
      <c r="J110" t="s">
        <v>18</v>
      </c>
      <c r="K110" t="s">
        <v>20</v>
      </c>
    </row>
    <row r="111" spans="1:11" x14ac:dyDescent="0.3">
      <c r="A111">
        <v>223</v>
      </c>
      <c r="B111" t="s">
        <v>132</v>
      </c>
      <c r="C111">
        <v>62</v>
      </c>
      <c r="D111" t="s">
        <v>12</v>
      </c>
      <c r="E111" t="s">
        <v>21</v>
      </c>
      <c r="F111">
        <v>7732</v>
      </c>
      <c r="G111" s="1">
        <v>44063</v>
      </c>
      <c r="I111">
        <v>18</v>
      </c>
      <c r="J111" t="s">
        <v>14</v>
      </c>
      <c r="K111" t="s">
        <v>20</v>
      </c>
    </row>
    <row r="112" spans="1:11" x14ac:dyDescent="0.3">
      <c r="A112">
        <v>225</v>
      </c>
      <c r="B112" t="s">
        <v>133</v>
      </c>
      <c r="C112">
        <v>27</v>
      </c>
      <c r="D112" t="s">
        <v>16</v>
      </c>
      <c r="E112" t="s">
        <v>21</v>
      </c>
      <c r="F112">
        <v>3660</v>
      </c>
      <c r="G112" s="1">
        <v>45275</v>
      </c>
      <c r="I112">
        <v>9</v>
      </c>
      <c r="J112" t="s">
        <v>18</v>
      </c>
      <c r="K112" t="s">
        <v>15</v>
      </c>
    </row>
    <row r="113" spans="1:11" x14ac:dyDescent="0.3">
      <c r="A113">
        <v>228</v>
      </c>
      <c r="B113" t="s">
        <v>134</v>
      </c>
      <c r="C113">
        <v>45</v>
      </c>
      <c r="D113" t="s">
        <v>16</v>
      </c>
      <c r="E113" t="s">
        <v>21</v>
      </c>
      <c r="F113">
        <v>8587</v>
      </c>
      <c r="G113" s="1">
        <v>43486</v>
      </c>
      <c r="H113">
        <v>2</v>
      </c>
      <c r="I113">
        <v>18</v>
      </c>
      <c r="J113" t="s">
        <v>23</v>
      </c>
      <c r="K113" t="s">
        <v>20</v>
      </c>
    </row>
    <row r="114" spans="1:11" x14ac:dyDescent="0.3">
      <c r="A114">
        <v>229</v>
      </c>
      <c r="B114" t="s">
        <v>135</v>
      </c>
      <c r="C114">
        <v>51</v>
      </c>
      <c r="D114" t="s">
        <v>12</v>
      </c>
      <c r="E114" t="s">
        <v>17</v>
      </c>
      <c r="F114">
        <v>9139</v>
      </c>
      <c r="G114" s="1">
        <v>44059</v>
      </c>
      <c r="H114">
        <v>5</v>
      </c>
      <c r="I114">
        <v>1</v>
      </c>
      <c r="J114" t="s">
        <v>23</v>
      </c>
      <c r="K114" t="s">
        <v>15</v>
      </c>
    </row>
    <row r="115" spans="1:11" x14ac:dyDescent="0.3">
      <c r="A115">
        <v>230</v>
      </c>
      <c r="B115" t="s">
        <v>136</v>
      </c>
      <c r="C115">
        <v>39</v>
      </c>
      <c r="D115" t="s">
        <v>26</v>
      </c>
      <c r="E115" t="s">
        <v>21</v>
      </c>
      <c r="F115">
        <v>7250</v>
      </c>
      <c r="G115" s="1">
        <v>42562</v>
      </c>
      <c r="H115">
        <v>4</v>
      </c>
      <c r="I115">
        <v>1</v>
      </c>
      <c r="J115" t="s">
        <v>23</v>
      </c>
      <c r="K115" t="s">
        <v>20</v>
      </c>
    </row>
    <row r="116" spans="1:11" x14ac:dyDescent="0.3">
      <c r="A116">
        <v>232</v>
      </c>
      <c r="B116" t="s">
        <v>137</v>
      </c>
      <c r="C116">
        <v>26</v>
      </c>
      <c r="D116" t="s">
        <v>12</v>
      </c>
      <c r="E116" t="s">
        <v>17</v>
      </c>
      <c r="F116">
        <v>6975</v>
      </c>
      <c r="G116" s="1">
        <v>42455</v>
      </c>
      <c r="I116">
        <v>14</v>
      </c>
      <c r="J116" t="s">
        <v>14</v>
      </c>
      <c r="K116" t="s">
        <v>19</v>
      </c>
    </row>
    <row r="117" spans="1:11" x14ac:dyDescent="0.3">
      <c r="A117">
        <v>233</v>
      </c>
      <c r="B117" t="s">
        <v>138</v>
      </c>
      <c r="C117">
        <v>50</v>
      </c>
      <c r="D117" t="s">
        <v>26</v>
      </c>
      <c r="E117" t="s">
        <v>21</v>
      </c>
      <c r="F117">
        <v>8718</v>
      </c>
      <c r="G117" s="1">
        <v>45490</v>
      </c>
      <c r="H117">
        <v>1</v>
      </c>
      <c r="I117">
        <v>18</v>
      </c>
      <c r="J117" t="s">
        <v>23</v>
      </c>
      <c r="K117" t="s">
        <v>20</v>
      </c>
    </row>
    <row r="118" spans="1:11" x14ac:dyDescent="0.3">
      <c r="A118">
        <v>235</v>
      </c>
      <c r="B118" t="s">
        <v>139</v>
      </c>
      <c r="C118">
        <v>33</v>
      </c>
      <c r="D118" t="s">
        <v>16</v>
      </c>
      <c r="E118" t="s">
        <v>17</v>
      </c>
      <c r="F118">
        <v>7974</v>
      </c>
      <c r="G118" s="1">
        <v>42781</v>
      </c>
      <c r="I118">
        <v>7</v>
      </c>
      <c r="J118" t="s">
        <v>18</v>
      </c>
      <c r="K118" t="s">
        <v>15</v>
      </c>
    </row>
    <row r="119" spans="1:11" x14ac:dyDescent="0.3">
      <c r="A119">
        <v>239</v>
      </c>
      <c r="B119" t="s">
        <v>140</v>
      </c>
      <c r="C119">
        <v>65</v>
      </c>
      <c r="D119" t="s">
        <v>16</v>
      </c>
      <c r="E119" t="s">
        <v>17</v>
      </c>
      <c r="F119">
        <v>6332</v>
      </c>
      <c r="G119" s="1">
        <v>42133</v>
      </c>
      <c r="I119">
        <v>12</v>
      </c>
      <c r="J119" t="s">
        <v>23</v>
      </c>
      <c r="K119" t="s">
        <v>19</v>
      </c>
    </row>
    <row r="120" spans="1:11" x14ac:dyDescent="0.3">
      <c r="A120">
        <v>240</v>
      </c>
      <c r="B120" t="s">
        <v>141</v>
      </c>
      <c r="C120">
        <v>37</v>
      </c>
      <c r="D120" t="s">
        <v>26</v>
      </c>
      <c r="E120" t="s">
        <v>17</v>
      </c>
      <c r="F120">
        <v>9356</v>
      </c>
      <c r="G120" s="1">
        <v>43102</v>
      </c>
      <c r="H120">
        <v>3</v>
      </c>
      <c r="I120">
        <v>3</v>
      </c>
      <c r="J120" t="s">
        <v>23</v>
      </c>
      <c r="K120" t="s">
        <v>20</v>
      </c>
    </row>
    <row r="121" spans="1:11" x14ac:dyDescent="0.3">
      <c r="A121">
        <v>243</v>
      </c>
      <c r="B121" t="s">
        <v>142</v>
      </c>
      <c r="C121">
        <v>35</v>
      </c>
      <c r="D121" t="s">
        <v>16</v>
      </c>
      <c r="E121" t="s">
        <v>21</v>
      </c>
      <c r="F121">
        <v>2847</v>
      </c>
      <c r="G121" s="1">
        <v>43880</v>
      </c>
      <c r="I121">
        <v>11</v>
      </c>
      <c r="J121" t="s">
        <v>18</v>
      </c>
      <c r="K121" t="s">
        <v>20</v>
      </c>
    </row>
    <row r="122" spans="1:11" x14ac:dyDescent="0.3">
      <c r="A122">
        <v>246</v>
      </c>
      <c r="B122" t="s">
        <v>143</v>
      </c>
      <c r="C122">
        <v>60</v>
      </c>
      <c r="D122" t="s">
        <v>26</v>
      </c>
      <c r="E122" t="s">
        <v>17</v>
      </c>
      <c r="F122">
        <v>7911</v>
      </c>
      <c r="G122" s="1">
        <v>43548</v>
      </c>
      <c r="I122">
        <v>7</v>
      </c>
      <c r="J122" t="s">
        <v>23</v>
      </c>
      <c r="K122" t="s">
        <v>19</v>
      </c>
    </row>
    <row r="123" spans="1:11" x14ac:dyDescent="0.3">
      <c r="A123">
        <v>249</v>
      </c>
      <c r="B123" t="s">
        <v>144</v>
      </c>
      <c r="C123">
        <v>65</v>
      </c>
      <c r="D123" t="s">
        <v>12</v>
      </c>
      <c r="E123" t="s">
        <v>21</v>
      </c>
      <c r="F123">
        <v>8882</v>
      </c>
      <c r="G123" s="1">
        <v>43427</v>
      </c>
      <c r="I123">
        <v>2</v>
      </c>
      <c r="J123" t="s">
        <v>14</v>
      </c>
      <c r="K123" t="s">
        <v>20</v>
      </c>
    </row>
    <row r="124" spans="1:11" x14ac:dyDescent="0.3">
      <c r="A124">
        <v>250</v>
      </c>
      <c r="B124" t="s">
        <v>145</v>
      </c>
      <c r="C124">
        <v>25</v>
      </c>
      <c r="D124" t="s">
        <v>12</v>
      </c>
      <c r="E124" t="s">
        <v>13</v>
      </c>
      <c r="F124">
        <v>2994</v>
      </c>
      <c r="G124" s="1">
        <v>42268</v>
      </c>
      <c r="I124">
        <v>14</v>
      </c>
      <c r="J124" t="s">
        <v>23</v>
      </c>
      <c r="K124" t="s">
        <v>20</v>
      </c>
    </row>
    <row r="125" spans="1:11" x14ac:dyDescent="0.3">
      <c r="A125">
        <v>252</v>
      </c>
      <c r="B125" t="s">
        <v>146</v>
      </c>
      <c r="C125">
        <v>50</v>
      </c>
      <c r="D125" t="s">
        <v>16</v>
      </c>
      <c r="E125" t="s">
        <v>21</v>
      </c>
      <c r="F125">
        <v>3091</v>
      </c>
      <c r="G125" s="1">
        <v>42139</v>
      </c>
      <c r="H125">
        <v>1</v>
      </c>
      <c r="I125">
        <v>16</v>
      </c>
      <c r="J125" t="s">
        <v>18</v>
      </c>
      <c r="K125" t="s">
        <v>20</v>
      </c>
    </row>
    <row r="126" spans="1:11" x14ac:dyDescent="0.3">
      <c r="A126">
        <v>253</v>
      </c>
      <c r="B126" t="s">
        <v>147</v>
      </c>
      <c r="C126">
        <v>61</v>
      </c>
      <c r="D126" t="s">
        <v>26</v>
      </c>
      <c r="E126" t="s">
        <v>21</v>
      </c>
      <c r="F126">
        <v>3063</v>
      </c>
      <c r="G126" s="1">
        <v>43177</v>
      </c>
      <c r="H126">
        <v>1</v>
      </c>
      <c r="I126">
        <v>4</v>
      </c>
      <c r="J126" t="s">
        <v>14</v>
      </c>
      <c r="K126" t="s">
        <v>20</v>
      </c>
    </row>
    <row r="127" spans="1:11" x14ac:dyDescent="0.3">
      <c r="A127">
        <v>255</v>
      </c>
      <c r="B127" t="s">
        <v>148</v>
      </c>
      <c r="C127">
        <v>45</v>
      </c>
      <c r="D127" t="s">
        <v>26</v>
      </c>
      <c r="E127" t="s">
        <v>13</v>
      </c>
      <c r="F127">
        <v>9207</v>
      </c>
      <c r="G127" s="1">
        <v>43835</v>
      </c>
      <c r="H127">
        <v>4</v>
      </c>
      <c r="I127">
        <v>4</v>
      </c>
      <c r="J127" t="s">
        <v>18</v>
      </c>
      <c r="K127" t="s">
        <v>20</v>
      </c>
    </row>
    <row r="128" spans="1:11" x14ac:dyDescent="0.3">
      <c r="A128">
        <v>257</v>
      </c>
      <c r="B128" t="s">
        <v>149</v>
      </c>
      <c r="C128">
        <v>19</v>
      </c>
      <c r="D128" t="s">
        <v>12</v>
      </c>
      <c r="E128" t="s">
        <v>21</v>
      </c>
      <c r="F128">
        <v>4084</v>
      </c>
      <c r="G128" s="1">
        <v>44796</v>
      </c>
      <c r="H128">
        <v>3</v>
      </c>
      <c r="I128">
        <v>7</v>
      </c>
      <c r="J128" t="s">
        <v>18</v>
      </c>
      <c r="K128" t="s">
        <v>15</v>
      </c>
    </row>
    <row r="129" spans="1:11" x14ac:dyDescent="0.3">
      <c r="A129">
        <v>261</v>
      </c>
      <c r="B129" t="s">
        <v>150</v>
      </c>
      <c r="C129">
        <v>52</v>
      </c>
      <c r="D129" t="s">
        <v>12</v>
      </c>
      <c r="E129" t="s">
        <v>21</v>
      </c>
      <c r="F129">
        <v>4322</v>
      </c>
      <c r="G129" s="1">
        <v>44771</v>
      </c>
      <c r="H129">
        <v>3</v>
      </c>
      <c r="I129">
        <v>4</v>
      </c>
      <c r="J129" t="s">
        <v>14</v>
      </c>
      <c r="K129" t="s">
        <v>15</v>
      </c>
    </row>
    <row r="130" spans="1:11" x14ac:dyDescent="0.3">
      <c r="A130">
        <v>263</v>
      </c>
      <c r="B130" t="s">
        <v>151</v>
      </c>
      <c r="C130">
        <v>58</v>
      </c>
      <c r="D130" t="s">
        <v>26</v>
      </c>
      <c r="E130" t="s">
        <v>21</v>
      </c>
      <c r="F130">
        <v>3439</v>
      </c>
      <c r="G130" s="1">
        <v>44908</v>
      </c>
      <c r="I130">
        <v>16</v>
      </c>
      <c r="J130" t="s">
        <v>18</v>
      </c>
      <c r="K130" t="s">
        <v>19</v>
      </c>
    </row>
    <row r="131" spans="1:11" x14ac:dyDescent="0.3">
      <c r="A131">
        <v>264</v>
      </c>
      <c r="B131" t="s">
        <v>152</v>
      </c>
      <c r="C131">
        <v>40</v>
      </c>
      <c r="D131" t="s">
        <v>16</v>
      </c>
      <c r="E131" t="s">
        <v>17</v>
      </c>
      <c r="F131">
        <v>9455</v>
      </c>
      <c r="G131" s="1">
        <v>45249</v>
      </c>
      <c r="H131">
        <v>1</v>
      </c>
      <c r="I131">
        <v>14</v>
      </c>
      <c r="J131" t="s">
        <v>18</v>
      </c>
      <c r="K131" t="s">
        <v>20</v>
      </c>
    </row>
    <row r="132" spans="1:11" x14ac:dyDescent="0.3">
      <c r="A132">
        <v>266</v>
      </c>
      <c r="B132" t="s">
        <v>153</v>
      </c>
      <c r="C132">
        <v>65</v>
      </c>
      <c r="D132" t="s">
        <v>16</v>
      </c>
      <c r="E132" t="s">
        <v>17</v>
      </c>
      <c r="F132">
        <v>8334</v>
      </c>
      <c r="G132" s="1">
        <v>45440</v>
      </c>
      <c r="H132">
        <v>2</v>
      </c>
      <c r="I132">
        <v>15</v>
      </c>
      <c r="J132" t="s">
        <v>14</v>
      </c>
      <c r="K132" t="s">
        <v>19</v>
      </c>
    </row>
    <row r="133" spans="1:11" x14ac:dyDescent="0.3">
      <c r="A133">
        <v>267</v>
      </c>
      <c r="B133" t="s">
        <v>154</v>
      </c>
      <c r="C133">
        <v>50</v>
      </c>
      <c r="D133" t="s">
        <v>26</v>
      </c>
      <c r="E133" t="s">
        <v>21</v>
      </c>
      <c r="F133">
        <v>5970</v>
      </c>
      <c r="G133" s="1">
        <v>42544</v>
      </c>
      <c r="H133">
        <v>2</v>
      </c>
      <c r="I133">
        <v>4</v>
      </c>
      <c r="J133" t="s">
        <v>14</v>
      </c>
      <c r="K133" t="s">
        <v>20</v>
      </c>
    </row>
    <row r="134" spans="1:11" x14ac:dyDescent="0.3">
      <c r="A134">
        <v>268</v>
      </c>
      <c r="B134" t="s">
        <v>155</v>
      </c>
      <c r="C134">
        <v>19</v>
      </c>
      <c r="D134" t="s">
        <v>16</v>
      </c>
      <c r="E134" t="s">
        <v>13</v>
      </c>
      <c r="F134">
        <v>3504</v>
      </c>
      <c r="G134" s="1">
        <v>43925</v>
      </c>
      <c r="I134">
        <v>14</v>
      </c>
      <c r="J134" t="s">
        <v>23</v>
      </c>
      <c r="K134" t="s">
        <v>15</v>
      </c>
    </row>
    <row r="135" spans="1:11" x14ac:dyDescent="0.3">
      <c r="A135">
        <v>272</v>
      </c>
      <c r="B135" t="s">
        <v>156</v>
      </c>
      <c r="C135">
        <v>65</v>
      </c>
      <c r="D135" t="s">
        <v>16</v>
      </c>
      <c r="E135" t="s">
        <v>17</v>
      </c>
      <c r="F135">
        <v>2417</v>
      </c>
      <c r="G135" s="1">
        <v>44365</v>
      </c>
      <c r="H135">
        <v>2</v>
      </c>
      <c r="I135">
        <v>17</v>
      </c>
      <c r="J135" t="s">
        <v>23</v>
      </c>
      <c r="K135" t="s">
        <v>20</v>
      </c>
    </row>
    <row r="136" spans="1:11" x14ac:dyDescent="0.3">
      <c r="A136">
        <v>275</v>
      </c>
      <c r="B136" t="s">
        <v>157</v>
      </c>
      <c r="C136">
        <v>48</v>
      </c>
      <c r="D136" t="s">
        <v>12</v>
      </c>
      <c r="E136" t="s">
        <v>17</v>
      </c>
      <c r="F136">
        <v>7287</v>
      </c>
      <c r="G136" s="1">
        <v>43530</v>
      </c>
      <c r="H136">
        <v>1</v>
      </c>
      <c r="I136">
        <v>9</v>
      </c>
      <c r="J136" t="s">
        <v>18</v>
      </c>
      <c r="K136" t="s">
        <v>15</v>
      </c>
    </row>
    <row r="137" spans="1:11" x14ac:dyDescent="0.3">
      <c r="A137">
        <v>276</v>
      </c>
      <c r="B137" t="s">
        <v>158</v>
      </c>
      <c r="C137">
        <v>22</v>
      </c>
      <c r="D137" t="s">
        <v>26</v>
      </c>
      <c r="E137" t="s">
        <v>17</v>
      </c>
      <c r="F137">
        <v>9749</v>
      </c>
      <c r="G137" s="1">
        <v>43600</v>
      </c>
      <c r="I137">
        <v>5</v>
      </c>
      <c r="J137" t="s">
        <v>18</v>
      </c>
      <c r="K137" t="s">
        <v>20</v>
      </c>
    </row>
    <row r="138" spans="1:11" x14ac:dyDescent="0.3">
      <c r="A138">
        <v>277</v>
      </c>
      <c r="B138" t="s">
        <v>159</v>
      </c>
      <c r="C138">
        <v>45</v>
      </c>
      <c r="D138" t="s">
        <v>12</v>
      </c>
      <c r="E138" t="s">
        <v>21</v>
      </c>
      <c r="F138">
        <v>4514</v>
      </c>
      <c r="G138" s="1">
        <v>44723</v>
      </c>
      <c r="H138">
        <v>4</v>
      </c>
      <c r="I138">
        <v>2</v>
      </c>
      <c r="J138" t="s">
        <v>18</v>
      </c>
      <c r="K138" t="s">
        <v>20</v>
      </c>
    </row>
    <row r="139" spans="1:11" x14ac:dyDescent="0.3">
      <c r="A139">
        <v>278</v>
      </c>
      <c r="B139" t="s">
        <v>160</v>
      </c>
      <c r="C139">
        <v>22</v>
      </c>
      <c r="D139" t="s">
        <v>16</v>
      </c>
      <c r="E139" t="s">
        <v>17</v>
      </c>
      <c r="F139">
        <v>4226</v>
      </c>
      <c r="G139" s="1">
        <v>45566</v>
      </c>
      <c r="I139">
        <v>8</v>
      </c>
      <c r="J139" t="s">
        <v>23</v>
      </c>
      <c r="K139" t="s">
        <v>20</v>
      </c>
    </row>
    <row r="140" spans="1:11" x14ac:dyDescent="0.3">
      <c r="A140">
        <v>279</v>
      </c>
      <c r="B140" t="s">
        <v>161</v>
      </c>
      <c r="C140">
        <v>49</v>
      </c>
      <c r="D140" t="s">
        <v>26</v>
      </c>
      <c r="E140" t="s">
        <v>21</v>
      </c>
      <c r="F140">
        <v>7561</v>
      </c>
      <c r="G140" s="1">
        <v>42735</v>
      </c>
      <c r="I140">
        <v>14</v>
      </c>
      <c r="J140" t="s">
        <v>23</v>
      </c>
      <c r="K140" t="s">
        <v>19</v>
      </c>
    </row>
    <row r="141" spans="1:11" x14ac:dyDescent="0.3">
      <c r="A141">
        <v>281</v>
      </c>
      <c r="B141" t="s">
        <v>162</v>
      </c>
      <c r="C141">
        <v>49</v>
      </c>
      <c r="D141" t="s">
        <v>16</v>
      </c>
      <c r="E141" t="s">
        <v>21</v>
      </c>
      <c r="F141">
        <v>2175</v>
      </c>
      <c r="G141" s="1">
        <v>44690</v>
      </c>
      <c r="I141">
        <v>16</v>
      </c>
      <c r="J141" t="s">
        <v>23</v>
      </c>
      <c r="K141" t="s">
        <v>20</v>
      </c>
    </row>
    <row r="142" spans="1:11" x14ac:dyDescent="0.3">
      <c r="A142">
        <v>282</v>
      </c>
      <c r="B142" t="s">
        <v>163</v>
      </c>
      <c r="C142">
        <v>42</v>
      </c>
      <c r="D142" t="s">
        <v>16</v>
      </c>
      <c r="E142" t="s">
        <v>17</v>
      </c>
      <c r="F142">
        <v>5756</v>
      </c>
      <c r="G142" s="1">
        <v>43720</v>
      </c>
      <c r="I142">
        <v>13</v>
      </c>
      <c r="J142" t="s">
        <v>23</v>
      </c>
      <c r="K142" t="s">
        <v>20</v>
      </c>
    </row>
    <row r="143" spans="1:11" x14ac:dyDescent="0.3">
      <c r="A143">
        <v>283</v>
      </c>
      <c r="B143" t="s">
        <v>164</v>
      </c>
      <c r="C143">
        <v>45</v>
      </c>
      <c r="D143" t="s">
        <v>16</v>
      </c>
      <c r="E143" t="s">
        <v>17</v>
      </c>
      <c r="F143">
        <v>4104</v>
      </c>
      <c r="G143" s="1">
        <v>42996</v>
      </c>
      <c r="H143">
        <v>3</v>
      </c>
      <c r="I143">
        <v>5</v>
      </c>
      <c r="J143" t="s">
        <v>23</v>
      </c>
      <c r="K143" t="s">
        <v>19</v>
      </c>
    </row>
    <row r="144" spans="1:11" x14ac:dyDescent="0.3">
      <c r="A144">
        <v>284</v>
      </c>
      <c r="B144" t="s">
        <v>165</v>
      </c>
      <c r="C144">
        <v>18</v>
      </c>
      <c r="D144" t="s">
        <v>26</v>
      </c>
      <c r="E144" t="s">
        <v>17</v>
      </c>
      <c r="F144">
        <v>2364</v>
      </c>
      <c r="G144" s="1">
        <v>42701</v>
      </c>
      <c r="H144">
        <v>2</v>
      </c>
      <c r="I144">
        <v>12</v>
      </c>
      <c r="J144" t="s">
        <v>18</v>
      </c>
      <c r="K144" t="s">
        <v>20</v>
      </c>
    </row>
    <row r="145" spans="1:11" x14ac:dyDescent="0.3">
      <c r="A145">
        <v>288</v>
      </c>
      <c r="B145" t="s">
        <v>166</v>
      </c>
      <c r="C145">
        <v>60</v>
      </c>
      <c r="D145" t="s">
        <v>16</v>
      </c>
      <c r="E145" t="s">
        <v>13</v>
      </c>
      <c r="F145">
        <v>3162</v>
      </c>
      <c r="G145" s="1">
        <v>42900</v>
      </c>
      <c r="I145">
        <v>20</v>
      </c>
      <c r="J145" t="s">
        <v>14</v>
      </c>
      <c r="K145" t="s">
        <v>15</v>
      </c>
    </row>
    <row r="146" spans="1:11" x14ac:dyDescent="0.3">
      <c r="A146">
        <v>295</v>
      </c>
      <c r="B146" t="s">
        <v>167</v>
      </c>
      <c r="C146">
        <v>24</v>
      </c>
      <c r="D146" t="s">
        <v>16</v>
      </c>
      <c r="E146" t="s">
        <v>17</v>
      </c>
      <c r="F146">
        <v>7332</v>
      </c>
      <c r="G146" s="1">
        <v>44163</v>
      </c>
      <c r="H146">
        <v>2</v>
      </c>
      <c r="I146">
        <v>10</v>
      </c>
      <c r="J146" t="s">
        <v>14</v>
      </c>
      <c r="K146" t="s">
        <v>15</v>
      </c>
    </row>
    <row r="147" spans="1:11" x14ac:dyDescent="0.3">
      <c r="A147">
        <v>298</v>
      </c>
      <c r="B147" t="s">
        <v>168</v>
      </c>
      <c r="C147">
        <v>55</v>
      </c>
      <c r="D147" t="s">
        <v>12</v>
      </c>
      <c r="E147" t="s">
        <v>17</v>
      </c>
      <c r="F147">
        <v>2414</v>
      </c>
      <c r="G147" s="1">
        <v>44137</v>
      </c>
      <c r="H147">
        <v>3</v>
      </c>
      <c r="I147">
        <v>4</v>
      </c>
      <c r="J147" t="s">
        <v>23</v>
      </c>
      <c r="K147" t="s">
        <v>15</v>
      </c>
    </row>
    <row r="148" spans="1:11" x14ac:dyDescent="0.3">
      <c r="A148">
        <v>301</v>
      </c>
      <c r="B148" t="s">
        <v>169</v>
      </c>
      <c r="C148">
        <v>31</v>
      </c>
      <c r="D148" t="s">
        <v>12</v>
      </c>
      <c r="E148" t="s">
        <v>13</v>
      </c>
      <c r="F148">
        <v>7039</v>
      </c>
      <c r="G148" s="1">
        <v>44222</v>
      </c>
      <c r="I148">
        <v>18</v>
      </c>
      <c r="J148" t="s">
        <v>23</v>
      </c>
      <c r="K148" t="s">
        <v>19</v>
      </c>
    </row>
    <row r="149" spans="1:11" x14ac:dyDescent="0.3">
      <c r="A149">
        <v>302</v>
      </c>
      <c r="B149" t="s">
        <v>170</v>
      </c>
      <c r="C149">
        <v>26</v>
      </c>
      <c r="D149" t="s">
        <v>12</v>
      </c>
      <c r="E149" t="s">
        <v>17</v>
      </c>
      <c r="F149">
        <v>8385</v>
      </c>
      <c r="G149" s="1">
        <v>45216</v>
      </c>
      <c r="I149">
        <v>15</v>
      </c>
      <c r="J149" t="s">
        <v>14</v>
      </c>
      <c r="K149" t="s">
        <v>19</v>
      </c>
    </row>
    <row r="150" spans="1:11" x14ac:dyDescent="0.3">
      <c r="A150">
        <v>303</v>
      </c>
      <c r="B150" t="s">
        <v>171</v>
      </c>
      <c r="C150">
        <v>31</v>
      </c>
      <c r="D150" t="s">
        <v>16</v>
      </c>
      <c r="E150" t="s">
        <v>21</v>
      </c>
      <c r="F150">
        <v>3002</v>
      </c>
      <c r="G150" s="1">
        <v>43345</v>
      </c>
      <c r="H150">
        <v>1</v>
      </c>
      <c r="I150">
        <v>9</v>
      </c>
      <c r="J150" t="s">
        <v>18</v>
      </c>
      <c r="K150" t="s">
        <v>20</v>
      </c>
    </row>
    <row r="151" spans="1:11" x14ac:dyDescent="0.3">
      <c r="A151">
        <v>306</v>
      </c>
      <c r="B151" t="s">
        <v>172</v>
      </c>
      <c r="C151">
        <v>36</v>
      </c>
      <c r="D151" t="s">
        <v>16</v>
      </c>
      <c r="E151" t="s">
        <v>17</v>
      </c>
      <c r="F151">
        <v>7992</v>
      </c>
      <c r="G151" s="1">
        <v>45402</v>
      </c>
      <c r="H151">
        <v>2</v>
      </c>
      <c r="I151">
        <v>7</v>
      </c>
      <c r="J151" t="s">
        <v>14</v>
      </c>
      <c r="K151" t="s">
        <v>20</v>
      </c>
    </row>
    <row r="152" spans="1:11" x14ac:dyDescent="0.3">
      <c r="A152">
        <v>310</v>
      </c>
      <c r="B152" t="s">
        <v>173</v>
      </c>
      <c r="C152">
        <v>33</v>
      </c>
      <c r="D152" t="s">
        <v>12</v>
      </c>
      <c r="E152" t="s">
        <v>17</v>
      </c>
      <c r="F152">
        <v>3636</v>
      </c>
      <c r="G152" s="1">
        <v>42847</v>
      </c>
      <c r="H152">
        <v>4</v>
      </c>
      <c r="I152">
        <v>7</v>
      </c>
      <c r="J152" t="s">
        <v>23</v>
      </c>
      <c r="K152" t="s">
        <v>20</v>
      </c>
    </row>
    <row r="153" spans="1:11" x14ac:dyDescent="0.3">
      <c r="A153">
        <v>312</v>
      </c>
      <c r="B153" t="s">
        <v>174</v>
      </c>
      <c r="C153">
        <v>58</v>
      </c>
      <c r="D153" t="s">
        <v>16</v>
      </c>
      <c r="E153" t="s">
        <v>21</v>
      </c>
      <c r="F153">
        <v>3700</v>
      </c>
      <c r="G153" s="1">
        <v>45033</v>
      </c>
      <c r="I153">
        <v>16</v>
      </c>
      <c r="J153" t="s">
        <v>14</v>
      </c>
      <c r="K153" t="s">
        <v>15</v>
      </c>
    </row>
    <row r="154" spans="1:11" x14ac:dyDescent="0.3">
      <c r="A154">
        <v>313</v>
      </c>
      <c r="B154" t="s">
        <v>175</v>
      </c>
      <c r="C154">
        <v>26</v>
      </c>
      <c r="D154" t="s">
        <v>12</v>
      </c>
      <c r="E154" t="s">
        <v>17</v>
      </c>
      <c r="F154">
        <v>3495</v>
      </c>
      <c r="G154" s="1">
        <v>42007</v>
      </c>
      <c r="H154">
        <v>1</v>
      </c>
      <c r="I154">
        <v>18</v>
      </c>
      <c r="J154" t="s">
        <v>18</v>
      </c>
      <c r="K154" t="s">
        <v>15</v>
      </c>
    </row>
    <row r="155" spans="1:11" x14ac:dyDescent="0.3">
      <c r="A155">
        <v>317</v>
      </c>
      <c r="B155" t="s">
        <v>176</v>
      </c>
      <c r="C155">
        <v>43</v>
      </c>
      <c r="D155" t="s">
        <v>16</v>
      </c>
      <c r="E155" t="s">
        <v>21</v>
      </c>
      <c r="F155">
        <v>7956</v>
      </c>
      <c r="G155" s="1">
        <v>45091</v>
      </c>
      <c r="I155">
        <v>1</v>
      </c>
      <c r="J155" t="s">
        <v>23</v>
      </c>
      <c r="K155" t="s">
        <v>19</v>
      </c>
    </row>
    <row r="156" spans="1:11" x14ac:dyDescent="0.3">
      <c r="A156">
        <v>318</v>
      </c>
      <c r="B156" t="s">
        <v>177</v>
      </c>
      <c r="C156">
        <v>63</v>
      </c>
      <c r="D156" t="s">
        <v>16</v>
      </c>
      <c r="E156" t="s">
        <v>17</v>
      </c>
      <c r="F156">
        <v>6741</v>
      </c>
      <c r="G156" s="1">
        <v>44271</v>
      </c>
      <c r="H156">
        <v>4</v>
      </c>
      <c r="I156">
        <v>7</v>
      </c>
      <c r="J156" t="s">
        <v>18</v>
      </c>
      <c r="K156" t="s">
        <v>15</v>
      </c>
    </row>
    <row r="157" spans="1:11" x14ac:dyDescent="0.3">
      <c r="A157">
        <v>319</v>
      </c>
      <c r="B157" t="s">
        <v>178</v>
      </c>
      <c r="C157">
        <v>61</v>
      </c>
      <c r="D157" t="s">
        <v>12</v>
      </c>
      <c r="E157" t="s">
        <v>17</v>
      </c>
      <c r="F157">
        <v>7087</v>
      </c>
      <c r="G157" s="1">
        <v>45562</v>
      </c>
      <c r="H157">
        <v>2</v>
      </c>
      <c r="I157">
        <v>11</v>
      </c>
      <c r="J157" t="s">
        <v>18</v>
      </c>
      <c r="K157" t="s">
        <v>15</v>
      </c>
    </row>
    <row r="158" spans="1:11" x14ac:dyDescent="0.3">
      <c r="A158">
        <v>324</v>
      </c>
      <c r="B158" t="s">
        <v>180</v>
      </c>
      <c r="C158">
        <v>46</v>
      </c>
      <c r="D158" t="s">
        <v>26</v>
      </c>
      <c r="E158" t="s">
        <v>13</v>
      </c>
      <c r="F158">
        <v>8306</v>
      </c>
      <c r="G158" s="1">
        <v>45610</v>
      </c>
      <c r="H158">
        <v>5</v>
      </c>
      <c r="I158">
        <v>15</v>
      </c>
      <c r="J158" t="s">
        <v>14</v>
      </c>
      <c r="K158" t="s">
        <v>19</v>
      </c>
    </row>
    <row r="159" spans="1:11" x14ac:dyDescent="0.3">
      <c r="A159">
        <v>328</v>
      </c>
      <c r="B159" t="s">
        <v>181</v>
      </c>
      <c r="C159">
        <v>22</v>
      </c>
      <c r="D159" t="s">
        <v>12</v>
      </c>
      <c r="E159" t="s">
        <v>13</v>
      </c>
      <c r="F159">
        <v>7928</v>
      </c>
      <c r="G159" s="1">
        <v>44327</v>
      </c>
      <c r="H159">
        <v>3</v>
      </c>
      <c r="I159">
        <v>1</v>
      </c>
      <c r="J159" t="s">
        <v>18</v>
      </c>
      <c r="K159" t="s">
        <v>15</v>
      </c>
    </row>
    <row r="160" spans="1:11" x14ac:dyDescent="0.3">
      <c r="A160">
        <v>330</v>
      </c>
      <c r="B160" t="s">
        <v>182</v>
      </c>
      <c r="C160">
        <v>32</v>
      </c>
      <c r="D160" t="s">
        <v>26</v>
      </c>
      <c r="E160" t="s">
        <v>21</v>
      </c>
      <c r="F160">
        <v>5502</v>
      </c>
      <c r="G160" s="1">
        <v>44299</v>
      </c>
      <c r="H160">
        <v>4</v>
      </c>
      <c r="I160">
        <v>9</v>
      </c>
      <c r="J160" t="s">
        <v>14</v>
      </c>
      <c r="K160" t="s">
        <v>20</v>
      </c>
    </row>
    <row r="161" spans="1:11" x14ac:dyDescent="0.3">
      <c r="A161">
        <v>332</v>
      </c>
      <c r="B161" t="s">
        <v>183</v>
      </c>
      <c r="C161">
        <v>52</v>
      </c>
      <c r="D161" t="s">
        <v>26</v>
      </c>
      <c r="E161" t="s">
        <v>17</v>
      </c>
      <c r="F161">
        <v>5380</v>
      </c>
      <c r="G161" s="1">
        <v>43944</v>
      </c>
      <c r="I161">
        <v>8</v>
      </c>
      <c r="J161" t="s">
        <v>23</v>
      </c>
      <c r="K161" t="s">
        <v>19</v>
      </c>
    </row>
    <row r="162" spans="1:11" x14ac:dyDescent="0.3">
      <c r="A162">
        <v>333</v>
      </c>
      <c r="B162" t="s">
        <v>184</v>
      </c>
      <c r="C162">
        <v>38</v>
      </c>
      <c r="D162" t="s">
        <v>12</v>
      </c>
      <c r="E162" t="s">
        <v>17</v>
      </c>
      <c r="F162">
        <v>6259</v>
      </c>
      <c r="G162" s="1">
        <v>42534</v>
      </c>
      <c r="H162">
        <v>4</v>
      </c>
      <c r="I162">
        <v>5</v>
      </c>
      <c r="J162" t="s">
        <v>14</v>
      </c>
      <c r="K162" t="s">
        <v>15</v>
      </c>
    </row>
    <row r="163" spans="1:11" x14ac:dyDescent="0.3">
      <c r="A163">
        <v>334</v>
      </c>
      <c r="B163" t="s">
        <v>185</v>
      </c>
      <c r="C163">
        <v>25</v>
      </c>
      <c r="D163" t="s">
        <v>12</v>
      </c>
      <c r="E163" t="s">
        <v>21</v>
      </c>
      <c r="F163">
        <v>8301</v>
      </c>
      <c r="G163" s="1">
        <v>43937</v>
      </c>
      <c r="I163">
        <v>14</v>
      </c>
      <c r="J163" t="s">
        <v>18</v>
      </c>
      <c r="K163" t="s">
        <v>20</v>
      </c>
    </row>
    <row r="164" spans="1:11" x14ac:dyDescent="0.3">
      <c r="A164">
        <v>335</v>
      </c>
      <c r="B164" t="s">
        <v>186</v>
      </c>
      <c r="C164">
        <v>56</v>
      </c>
      <c r="D164" t="s">
        <v>26</v>
      </c>
      <c r="E164" t="s">
        <v>13</v>
      </c>
      <c r="F164">
        <v>6496</v>
      </c>
      <c r="G164" s="1">
        <v>43393</v>
      </c>
      <c r="H164">
        <v>2</v>
      </c>
      <c r="I164">
        <v>11</v>
      </c>
      <c r="J164" t="s">
        <v>18</v>
      </c>
      <c r="K164" t="s">
        <v>15</v>
      </c>
    </row>
    <row r="165" spans="1:11" x14ac:dyDescent="0.3">
      <c r="A165">
        <v>339</v>
      </c>
      <c r="B165" t="s">
        <v>187</v>
      </c>
      <c r="C165">
        <v>32</v>
      </c>
      <c r="D165" t="s">
        <v>12</v>
      </c>
      <c r="E165" t="s">
        <v>21</v>
      </c>
      <c r="F165">
        <v>4750</v>
      </c>
      <c r="G165" s="1">
        <v>42850</v>
      </c>
      <c r="I165">
        <v>8</v>
      </c>
      <c r="J165" t="s">
        <v>18</v>
      </c>
      <c r="K165" t="s">
        <v>15</v>
      </c>
    </row>
    <row r="166" spans="1:11" x14ac:dyDescent="0.3">
      <c r="A166">
        <v>340</v>
      </c>
      <c r="B166" t="s">
        <v>188</v>
      </c>
      <c r="C166">
        <v>47</v>
      </c>
      <c r="D166" t="s">
        <v>16</v>
      </c>
      <c r="E166" t="s">
        <v>21</v>
      </c>
      <c r="F166">
        <v>4528</v>
      </c>
      <c r="G166" s="1">
        <v>45448</v>
      </c>
      <c r="H166">
        <v>5</v>
      </c>
      <c r="I166">
        <v>7</v>
      </c>
      <c r="J166" t="s">
        <v>23</v>
      </c>
      <c r="K166" t="s">
        <v>20</v>
      </c>
    </row>
    <row r="167" spans="1:11" x14ac:dyDescent="0.3">
      <c r="A167">
        <v>341</v>
      </c>
      <c r="B167" t="s">
        <v>189</v>
      </c>
      <c r="C167">
        <v>25</v>
      </c>
      <c r="D167" t="s">
        <v>16</v>
      </c>
      <c r="E167" t="s">
        <v>21</v>
      </c>
      <c r="F167">
        <v>8628</v>
      </c>
      <c r="G167" s="1">
        <v>43174</v>
      </c>
      <c r="I167">
        <v>12</v>
      </c>
      <c r="J167" t="s">
        <v>14</v>
      </c>
      <c r="K167" t="s">
        <v>15</v>
      </c>
    </row>
    <row r="168" spans="1:11" x14ac:dyDescent="0.3">
      <c r="A168">
        <v>347</v>
      </c>
      <c r="B168" t="s">
        <v>190</v>
      </c>
      <c r="C168">
        <v>62</v>
      </c>
      <c r="D168" t="s">
        <v>12</v>
      </c>
      <c r="E168" t="s">
        <v>13</v>
      </c>
      <c r="F168">
        <v>7803</v>
      </c>
      <c r="G168" s="1">
        <v>43819</v>
      </c>
      <c r="I168">
        <v>8</v>
      </c>
      <c r="J168" t="s">
        <v>18</v>
      </c>
      <c r="K168" t="s">
        <v>15</v>
      </c>
    </row>
    <row r="169" spans="1:11" x14ac:dyDescent="0.3">
      <c r="A169">
        <v>350</v>
      </c>
      <c r="B169" t="s">
        <v>191</v>
      </c>
      <c r="C169">
        <v>44</v>
      </c>
      <c r="D169" t="s">
        <v>26</v>
      </c>
      <c r="E169" t="s">
        <v>21</v>
      </c>
      <c r="F169">
        <v>7895</v>
      </c>
      <c r="G169" s="1">
        <v>43633</v>
      </c>
      <c r="H169">
        <v>5</v>
      </c>
      <c r="I169">
        <v>13</v>
      </c>
      <c r="J169" t="s">
        <v>23</v>
      </c>
      <c r="K169" t="s">
        <v>19</v>
      </c>
    </row>
    <row r="170" spans="1:11" x14ac:dyDescent="0.3">
      <c r="A170">
        <v>353</v>
      </c>
      <c r="B170" t="s">
        <v>192</v>
      </c>
      <c r="C170">
        <v>39</v>
      </c>
      <c r="D170" t="s">
        <v>12</v>
      </c>
      <c r="E170" t="s">
        <v>17</v>
      </c>
      <c r="F170">
        <v>3353</v>
      </c>
      <c r="G170" s="1">
        <v>43051</v>
      </c>
      <c r="I170">
        <v>15</v>
      </c>
      <c r="J170" t="s">
        <v>18</v>
      </c>
      <c r="K170" t="s">
        <v>15</v>
      </c>
    </row>
    <row r="171" spans="1:11" x14ac:dyDescent="0.3">
      <c r="A171">
        <v>354</v>
      </c>
      <c r="B171" t="s">
        <v>193</v>
      </c>
      <c r="C171">
        <v>30</v>
      </c>
      <c r="D171" t="s">
        <v>26</v>
      </c>
      <c r="E171" t="s">
        <v>17</v>
      </c>
      <c r="F171">
        <v>7252</v>
      </c>
      <c r="G171" s="1">
        <v>44527</v>
      </c>
      <c r="H171">
        <v>4</v>
      </c>
      <c r="I171">
        <v>14</v>
      </c>
      <c r="J171" t="s">
        <v>14</v>
      </c>
      <c r="K171" t="s">
        <v>20</v>
      </c>
    </row>
    <row r="172" spans="1:11" x14ac:dyDescent="0.3">
      <c r="A172">
        <v>357</v>
      </c>
      <c r="B172" t="s">
        <v>194</v>
      </c>
      <c r="C172">
        <v>55</v>
      </c>
      <c r="D172" t="s">
        <v>16</v>
      </c>
      <c r="E172" t="s">
        <v>17</v>
      </c>
      <c r="F172">
        <v>8344</v>
      </c>
      <c r="G172" s="1">
        <v>42287</v>
      </c>
      <c r="H172">
        <v>2</v>
      </c>
      <c r="I172">
        <v>19</v>
      </c>
      <c r="J172" t="s">
        <v>18</v>
      </c>
      <c r="K172" t="s">
        <v>19</v>
      </c>
    </row>
    <row r="173" spans="1:11" x14ac:dyDescent="0.3">
      <c r="A173">
        <v>358</v>
      </c>
      <c r="B173" t="s">
        <v>195</v>
      </c>
      <c r="C173">
        <v>61</v>
      </c>
      <c r="D173" t="s">
        <v>26</v>
      </c>
      <c r="E173" t="s">
        <v>17</v>
      </c>
      <c r="F173">
        <v>2928</v>
      </c>
      <c r="G173" s="1">
        <v>43316</v>
      </c>
      <c r="I173">
        <v>15</v>
      </c>
      <c r="J173" t="s">
        <v>18</v>
      </c>
      <c r="K173" t="s">
        <v>19</v>
      </c>
    </row>
    <row r="174" spans="1:11" x14ac:dyDescent="0.3">
      <c r="A174">
        <v>361</v>
      </c>
      <c r="B174" t="s">
        <v>196</v>
      </c>
      <c r="C174">
        <v>20</v>
      </c>
      <c r="D174" t="s">
        <v>16</v>
      </c>
      <c r="E174" t="s">
        <v>21</v>
      </c>
      <c r="F174">
        <v>4275</v>
      </c>
      <c r="G174" s="1">
        <v>44799</v>
      </c>
      <c r="I174">
        <v>8</v>
      </c>
      <c r="J174" t="s">
        <v>14</v>
      </c>
      <c r="K174" t="s">
        <v>19</v>
      </c>
    </row>
    <row r="175" spans="1:11" x14ac:dyDescent="0.3">
      <c r="A175">
        <v>362</v>
      </c>
      <c r="B175" t="s">
        <v>197</v>
      </c>
      <c r="C175">
        <v>51</v>
      </c>
      <c r="D175" t="s">
        <v>26</v>
      </c>
      <c r="E175" t="s">
        <v>17</v>
      </c>
      <c r="F175">
        <v>4503</v>
      </c>
      <c r="G175" s="1">
        <v>43905</v>
      </c>
      <c r="I175">
        <v>5</v>
      </c>
      <c r="J175" t="s">
        <v>23</v>
      </c>
      <c r="K175" t="s">
        <v>15</v>
      </c>
    </row>
    <row r="176" spans="1:11" x14ac:dyDescent="0.3">
      <c r="A176">
        <v>363</v>
      </c>
      <c r="B176" t="s">
        <v>198</v>
      </c>
      <c r="C176">
        <v>29</v>
      </c>
      <c r="D176" t="s">
        <v>12</v>
      </c>
      <c r="E176" t="s">
        <v>21</v>
      </c>
      <c r="F176">
        <v>7903</v>
      </c>
      <c r="G176" s="1">
        <v>43122</v>
      </c>
      <c r="I176">
        <v>1</v>
      </c>
      <c r="J176" t="s">
        <v>14</v>
      </c>
      <c r="K176" t="s">
        <v>15</v>
      </c>
    </row>
    <row r="177" spans="1:11" x14ac:dyDescent="0.3">
      <c r="A177">
        <v>364</v>
      </c>
      <c r="B177" t="s">
        <v>199</v>
      </c>
      <c r="C177">
        <v>49</v>
      </c>
      <c r="D177" t="s">
        <v>16</v>
      </c>
      <c r="E177" t="s">
        <v>13</v>
      </c>
      <c r="F177">
        <v>6590</v>
      </c>
      <c r="G177" s="1">
        <v>44994</v>
      </c>
      <c r="I177">
        <v>15</v>
      </c>
      <c r="J177" t="s">
        <v>18</v>
      </c>
      <c r="K177" t="s">
        <v>15</v>
      </c>
    </row>
    <row r="178" spans="1:11" x14ac:dyDescent="0.3">
      <c r="A178">
        <v>368</v>
      </c>
      <c r="B178" t="s">
        <v>200</v>
      </c>
      <c r="C178">
        <v>20</v>
      </c>
      <c r="D178" t="s">
        <v>16</v>
      </c>
      <c r="E178" t="s">
        <v>13</v>
      </c>
      <c r="F178">
        <v>7485</v>
      </c>
      <c r="G178" s="1">
        <v>42263</v>
      </c>
      <c r="H178">
        <v>1</v>
      </c>
      <c r="I178">
        <v>2</v>
      </c>
      <c r="J178" t="s">
        <v>23</v>
      </c>
      <c r="K178" t="s">
        <v>20</v>
      </c>
    </row>
    <row r="179" spans="1:11" x14ac:dyDescent="0.3">
      <c r="A179">
        <v>369</v>
      </c>
      <c r="B179" t="s">
        <v>201</v>
      </c>
      <c r="C179">
        <v>23</v>
      </c>
      <c r="D179" t="s">
        <v>26</v>
      </c>
      <c r="E179" t="s">
        <v>13</v>
      </c>
      <c r="F179">
        <v>7559</v>
      </c>
      <c r="G179" s="1">
        <v>44660</v>
      </c>
      <c r="I179">
        <v>20</v>
      </c>
      <c r="J179" t="s">
        <v>14</v>
      </c>
      <c r="K179" t="s">
        <v>15</v>
      </c>
    </row>
    <row r="180" spans="1:11" x14ac:dyDescent="0.3">
      <c r="A180">
        <v>373</v>
      </c>
      <c r="B180" t="s">
        <v>202</v>
      </c>
      <c r="C180">
        <v>61</v>
      </c>
      <c r="D180" t="s">
        <v>16</v>
      </c>
      <c r="E180" t="s">
        <v>13</v>
      </c>
      <c r="F180">
        <v>6231</v>
      </c>
      <c r="G180" s="1">
        <v>42095</v>
      </c>
      <c r="I180">
        <v>15</v>
      </c>
      <c r="J180" t="s">
        <v>23</v>
      </c>
      <c r="K180" t="s">
        <v>20</v>
      </c>
    </row>
    <row r="181" spans="1:11" x14ac:dyDescent="0.3">
      <c r="A181">
        <v>374</v>
      </c>
      <c r="B181" t="s">
        <v>203</v>
      </c>
      <c r="C181">
        <v>22</v>
      </c>
      <c r="D181" t="s">
        <v>26</v>
      </c>
      <c r="E181" t="s">
        <v>13</v>
      </c>
      <c r="F181">
        <v>8147</v>
      </c>
      <c r="G181" s="1">
        <v>43632</v>
      </c>
      <c r="I181">
        <v>17</v>
      </c>
      <c r="J181" t="s">
        <v>18</v>
      </c>
      <c r="K181" t="s">
        <v>19</v>
      </c>
    </row>
    <row r="182" spans="1:11" x14ac:dyDescent="0.3">
      <c r="A182">
        <v>375</v>
      </c>
      <c r="B182" t="s">
        <v>204</v>
      </c>
      <c r="C182">
        <v>42</v>
      </c>
      <c r="D182" t="s">
        <v>26</v>
      </c>
      <c r="E182" t="s">
        <v>21</v>
      </c>
      <c r="F182">
        <v>9067</v>
      </c>
      <c r="G182" s="1">
        <v>42809</v>
      </c>
      <c r="H182">
        <v>5</v>
      </c>
      <c r="I182">
        <v>5</v>
      </c>
      <c r="J182" t="s">
        <v>14</v>
      </c>
      <c r="K182" t="s">
        <v>20</v>
      </c>
    </row>
    <row r="183" spans="1:11" x14ac:dyDescent="0.3">
      <c r="A183">
        <v>377</v>
      </c>
      <c r="B183" t="s">
        <v>205</v>
      </c>
      <c r="C183">
        <v>64</v>
      </c>
      <c r="D183" t="s">
        <v>12</v>
      </c>
      <c r="E183" t="s">
        <v>17</v>
      </c>
      <c r="F183">
        <v>5606</v>
      </c>
      <c r="G183" s="1">
        <v>42221</v>
      </c>
      <c r="H183">
        <v>5</v>
      </c>
      <c r="I183">
        <v>19</v>
      </c>
      <c r="J183" t="s">
        <v>14</v>
      </c>
      <c r="K183" t="s">
        <v>19</v>
      </c>
    </row>
    <row r="184" spans="1:11" x14ac:dyDescent="0.3">
      <c r="A184">
        <v>378</v>
      </c>
      <c r="B184" t="s">
        <v>206</v>
      </c>
      <c r="C184">
        <v>63</v>
      </c>
      <c r="D184" t="s">
        <v>26</v>
      </c>
      <c r="E184" t="s">
        <v>17</v>
      </c>
      <c r="F184">
        <v>6013</v>
      </c>
      <c r="G184" s="1">
        <v>45197</v>
      </c>
      <c r="I184">
        <v>10</v>
      </c>
      <c r="J184" t="s">
        <v>23</v>
      </c>
      <c r="K184" t="s">
        <v>15</v>
      </c>
    </row>
    <row r="185" spans="1:11" x14ac:dyDescent="0.3">
      <c r="A185">
        <v>379</v>
      </c>
      <c r="B185" t="s">
        <v>207</v>
      </c>
      <c r="C185">
        <v>26</v>
      </c>
      <c r="D185" t="s">
        <v>12</v>
      </c>
      <c r="E185" t="s">
        <v>17</v>
      </c>
      <c r="F185">
        <v>3556</v>
      </c>
      <c r="G185" s="1">
        <v>44506</v>
      </c>
      <c r="I185">
        <v>1</v>
      </c>
      <c r="J185" t="s">
        <v>23</v>
      </c>
      <c r="K185" t="s">
        <v>15</v>
      </c>
    </row>
    <row r="186" spans="1:11" x14ac:dyDescent="0.3">
      <c r="A186">
        <v>385</v>
      </c>
      <c r="B186" t="s">
        <v>208</v>
      </c>
      <c r="C186">
        <v>33</v>
      </c>
      <c r="D186" t="s">
        <v>12</v>
      </c>
      <c r="E186" t="s">
        <v>17</v>
      </c>
      <c r="F186">
        <v>7941</v>
      </c>
      <c r="G186" s="1">
        <v>42971</v>
      </c>
      <c r="I186">
        <v>14</v>
      </c>
      <c r="J186" t="s">
        <v>18</v>
      </c>
      <c r="K186" t="s">
        <v>15</v>
      </c>
    </row>
    <row r="187" spans="1:11" x14ac:dyDescent="0.3">
      <c r="A187">
        <v>387</v>
      </c>
      <c r="B187" t="s">
        <v>209</v>
      </c>
      <c r="C187">
        <v>32</v>
      </c>
      <c r="D187" t="s">
        <v>26</v>
      </c>
      <c r="E187" t="s">
        <v>21</v>
      </c>
      <c r="F187">
        <v>7537</v>
      </c>
      <c r="G187" s="1">
        <v>43250</v>
      </c>
      <c r="I187">
        <v>10</v>
      </c>
      <c r="J187" t="s">
        <v>14</v>
      </c>
      <c r="K187" t="s">
        <v>15</v>
      </c>
    </row>
    <row r="188" spans="1:11" x14ac:dyDescent="0.3">
      <c r="A188">
        <v>388</v>
      </c>
      <c r="B188" t="s">
        <v>210</v>
      </c>
      <c r="C188">
        <v>27</v>
      </c>
      <c r="D188" t="s">
        <v>16</v>
      </c>
      <c r="E188" t="s">
        <v>17</v>
      </c>
      <c r="F188">
        <v>2593</v>
      </c>
      <c r="G188" s="1">
        <v>42943</v>
      </c>
      <c r="H188">
        <v>1</v>
      </c>
      <c r="I188">
        <v>20</v>
      </c>
      <c r="J188" t="s">
        <v>14</v>
      </c>
      <c r="K188" t="s">
        <v>19</v>
      </c>
    </row>
    <row r="189" spans="1:11" x14ac:dyDescent="0.3">
      <c r="A189">
        <v>389</v>
      </c>
      <c r="B189" t="s">
        <v>211</v>
      </c>
      <c r="C189">
        <v>43</v>
      </c>
      <c r="D189" t="s">
        <v>16</v>
      </c>
      <c r="E189" t="s">
        <v>21</v>
      </c>
      <c r="F189">
        <v>2355</v>
      </c>
      <c r="G189" s="1">
        <v>42092</v>
      </c>
      <c r="I189">
        <v>5</v>
      </c>
      <c r="J189" t="s">
        <v>23</v>
      </c>
      <c r="K189" t="s">
        <v>20</v>
      </c>
    </row>
    <row r="190" spans="1:11" x14ac:dyDescent="0.3">
      <c r="A190">
        <v>390</v>
      </c>
      <c r="B190" t="s">
        <v>212</v>
      </c>
      <c r="C190">
        <v>40</v>
      </c>
      <c r="D190" t="s">
        <v>12</v>
      </c>
      <c r="E190" t="s">
        <v>13</v>
      </c>
      <c r="F190">
        <v>2567</v>
      </c>
      <c r="G190" s="1">
        <v>42606</v>
      </c>
      <c r="I190">
        <v>15</v>
      </c>
      <c r="J190" t="s">
        <v>23</v>
      </c>
      <c r="K190" t="s">
        <v>19</v>
      </c>
    </row>
    <row r="191" spans="1:11" x14ac:dyDescent="0.3">
      <c r="A191">
        <v>392</v>
      </c>
      <c r="B191" t="s">
        <v>31</v>
      </c>
      <c r="C191">
        <v>32</v>
      </c>
      <c r="D191" t="s">
        <v>12</v>
      </c>
      <c r="E191" t="s">
        <v>13</v>
      </c>
      <c r="F191">
        <v>6309</v>
      </c>
      <c r="G191" s="1">
        <v>45010</v>
      </c>
      <c r="H191">
        <v>5</v>
      </c>
      <c r="I191">
        <v>5</v>
      </c>
      <c r="J191" t="s">
        <v>18</v>
      </c>
      <c r="K191" t="s">
        <v>19</v>
      </c>
    </row>
    <row r="192" spans="1:11" x14ac:dyDescent="0.3">
      <c r="A192">
        <v>394</v>
      </c>
      <c r="B192" t="s">
        <v>213</v>
      </c>
      <c r="C192">
        <v>34</v>
      </c>
      <c r="D192" t="s">
        <v>12</v>
      </c>
      <c r="E192" t="s">
        <v>21</v>
      </c>
      <c r="F192">
        <v>8079</v>
      </c>
      <c r="G192" s="1">
        <v>45448</v>
      </c>
      <c r="H192">
        <v>2</v>
      </c>
      <c r="I192">
        <v>18</v>
      </c>
      <c r="J192" t="s">
        <v>23</v>
      </c>
      <c r="K192" t="s">
        <v>20</v>
      </c>
    </row>
    <row r="193" spans="1:11" x14ac:dyDescent="0.3">
      <c r="A193">
        <v>395</v>
      </c>
      <c r="B193" t="s">
        <v>214</v>
      </c>
      <c r="C193">
        <v>22</v>
      </c>
      <c r="D193" t="s">
        <v>26</v>
      </c>
      <c r="E193" t="s">
        <v>13</v>
      </c>
      <c r="F193">
        <v>8844</v>
      </c>
      <c r="G193" s="1">
        <v>43614</v>
      </c>
      <c r="H193">
        <v>1</v>
      </c>
      <c r="I193">
        <v>14</v>
      </c>
      <c r="J193" t="s">
        <v>14</v>
      </c>
      <c r="K193" t="s">
        <v>20</v>
      </c>
    </row>
    <row r="194" spans="1:11" x14ac:dyDescent="0.3">
      <c r="A194">
        <v>396</v>
      </c>
      <c r="B194" t="s">
        <v>215</v>
      </c>
      <c r="C194">
        <v>64</v>
      </c>
      <c r="D194" t="s">
        <v>26</v>
      </c>
      <c r="E194" t="s">
        <v>21</v>
      </c>
      <c r="F194">
        <v>5850</v>
      </c>
      <c r="G194" s="1">
        <v>42160</v>
      </c>
      <c r="H194">
        <v>2</v>
      </c>
      <c r="I194">
        <v>4</v>
      </c>
      <c r="J194" t="s">
        <v>14</v>
      </c>
      <c r="K194" t="s">
        <v>20</v>
      </c>
    </row>
    <row r="195" spans="1:11" x14ac:dyDescent="0.3">
      <c r="A195">
        <v>397</v>
      </c>
      <c r="B195" t="s">
        <v>216</v>
      </c>
      <c r="C195">
        <v>37</v>
      </c>
      <c r="D195" t="s">
        <v>26</v>
      </c>
      <c r="E195" t="s">
        <v>13</v>
      </c>
      <c r="F195">
        <v>8104</v>
      </c>
      <c r="G195" s="1">
        <v>44159</v>
      </c>
      <c r="I195">
        <v>20</v>
      </c>
      <c r="J195" t="s">
        <v>18</v>
      </c>
      <c r="K195" t="s">
        <v>20</v>
      </c>
    </row>
    <row r="196" spans="1:11" x14ac:dyDescent="0.3">
      <c r="A196">
        <v>398</v>
      </c>
      <c r="B196" t="s">
        <v>217</v>
      </c>
      <c r="C196">
        <v>57</v>
      </c>
      <c r="D196" t="s">
        <v>26</v>
      </c>
      <c r="E196" t="s">
        <v>17</v>
      </c>
      <c r="F196">
        <v>6316</v>
      </c>
      <c r="G196" s="1">
        <v>44568</v>
      </c>
      <c r="H196">
        <v>1</v>
      </c>
      <c r="I196">
        <v>13</v>
      </c>
      <c r="J196" t="s">
        <v>14</v>
      </c>
      <c r="K196" t="s">
        <v>20</v>
      </c>
    </row>
    <row r="197" spans="1:11" x14ac:dyDescent="0.3">
      <c r="A197">
        <v>400</v>
      </c>
      <c r="B197" t="s">
        <v>218</v>
      </c>
      <c r="C197">
        <v>63</v>
      </c>
      <c r="D197" t="s">
        <v>26</v>
      </c>
      <c r="E197" t="s">
        <v>17</v>
      </c>
      <c r="F197">
        <v>2418</v>
      </c>
      <c r="G197" s="1">
        <v>43333</v>
      </c>
      <c r="I197">
        <v>7</v>
      </c>
      <c r="J197" t="s">
        <v>18</v>
      </c>
      <c r="K197" t="s">
        <v>15</v>
      </c>
    </row>
    <row r="198" spans="1:11" x14ac:dyDescent="0.3">
      <c r="A198">
        <v>401</v>
      </c>
      <c r="B198" t="s">
        <v>219</v>
      </c>
      <c r="C198">
        <v>35</v>
      </c>
      <c r="D198" t="s">
        <v>12</v>
      </c>
      <c r="E198" t="s">
        <v>17</v>
      </c>
      <c r="F198">
        <v>6638</v>
      </c>
      <c r="G198" s="1">
        <v>42735</v>
      </c>
      <c r="I198">
        <v>13</v>
      </c>
      <c r="J198" t="s">
        <v>23</v>
      </c>
      <c r="K198" t="s">
        <v>20</v>
      </c>
    </row>
    <row r="199" spans="1:11" x14ac:dyDescent="0.3">
      <c r="A199">
        <v>404</v>
      </c>
      <c r="B199" t="s">
        <v>220</v>
      </c>
      <c r="C199">
        <v>40</v>
      </c>
      <c r="D199" t="s">
        <v>12</v>
      </c>
      <c r="E199" t="s">
        <v>21</v>
      </c>
      <c r="F199">
        <v>9276</v>
      </c>
      <c r="G199" s="1">
        <v>42640</v>
      </c>
      <c r="I199">
        <v>12</v>
      </c>
      <c r="J199" t="s">
        <v>23</v>
      </c>
      <c r="K199" t="s">
        <v>20</v>
      </c>
    </row>
    <row r="200" spans="1:11" x14ac:dyDescent="0.3">
      <c r="A200">
        <v>405</v>
      </c>
      <c r="B200" t="s">
        <v>221</v>
      </c>
      <c r="C200">
        <v>20</v>
      </c>
      <c r="D200" t="s">
        <v>16</v>
      </c>
      <c r="E200" t="s">
        <v>21</v>
      </c>
      <c r="F200">
        <v>6520</v>
      </c>
      <c r="G200" s="1">
        <v>44341</v>
      </c>
      <c r="I200">
        <v>2</v>
      </c>
      <c r="J200" t="s">
        <v>23</v>
      </c>
      <c r="K200" t="s">
        <v>20</v>
      </c>
    </row>
    <row r="201" spans="1:11" x14ac:dyDescent="0.3">
      <c r="A201">
        <v>407</v>
      </c>
      <c r="B201" t="s">
        <v>222</v>
      </c>
      <c r="C201">
        <v>31</v>
      </c>
      <c r="D201" t="s">
        <v>16</v>
      </c>
      <c r="E201" t="s">
        <v>21</v>
      </c>
      <c r="F201">
        <v>9268</v>
      </c>
      <c r="G201" s="1">
        <v>42943</v>
      </c>
      <c r="I201">
        <v>5</v>
      </c>
      <c r="J201" t="s">
        <v>23</v>
      </c>
      <c r="K201" t="s">
        <v>19</v>
      </c>
    </row>
    <row r="202" spans="1:11" x14ac:dyDescent="0.3">
      <c r="A202">
        <v>408</v>
      </c>
      <c r="B202" t="s">
        <v>223</v>
      </c>
      <c r="C202">
        <v>22</v>
      </c>
      <c r="D202" t="s">
        <v>12</v>
      </c>
      <c r="E202" t="s">
        <v>13</v>
      </c>
      <c r="F202">
        <v>7728</v>
      </c>
      <c r="G202" s="1">
        <v>43002</v>
      </c>
      <c r="H202">
        <v>2</v>
      </c>
      <c r="I202">
        <v>17</v>
      </c>
      <c r="J202" t="s">
        <v>18</v>
      </c>
      <c r="K202" t="s">
        <v>15</v>
      </c>
    </row>
    <row r="203" spans="1:11" x14ac:dyDescent="0.3">
      <c r="A203">
        <v>412</v>
      </c>
      <c r="B203" t="s">
        <v>224</v>
      </c>
      <c r="C203">
        <v>52</v>
      </c>
      <c r="D203" t="s">
        <v>12</v>
      </c>
      <c r="E203" t="s">
        <v>17</v>
      </c>
      <c r="F203">
        <v>3739</v>
      </c>
      <c r="G203" s="1">
        <v>42550</v>
      </c>
      <c r="H203">
        <v>5</v>
      </c>
      <c r="I203">
        <v>5</v>
      </c>
      <c r="J203" t="s">
        <v>18</v>
      </c>
      <c r="K203" t="s">
        <v>19</v>
      </c>
    </row>
    <row r="204" spans="1:11" x14ac:dyDescent="0.3">
      <c r="A204">
        <v>413</v>
      </c>
      <c r="B204" t="s">
        <v>225</v>
      </c>
      <c r="C204">
        <v>27</v>
      </c>
      <c r="D204" t="s">
        <v>26</v>
      </c>
      <c r="E204" t="s">
        <v>17</v>
      </c>
      <c r="F204">
        <v>4777</v>
      </c>
      <c r="G204" s="1">
        <v>45224</v>
      </c>
      <c r="H204">
        <v>5</v>
      </c>
      <c r="I204">
        <v>12</v>
      </c>
      <c r="J204" t="s">
        <v>23</v>
      </c>
      <c r="K204" t="s">
        <v>20</v>
      </c>
    </row>
    <row r="205" spans="1:11" x14ac:dyDescent="0.3">
      <c r="A205">
        <v>414</v>
      </c>
      <c r="B205" t="s">
        <v>226</v>
      </c>
      <c r="C205">
        <v>41</v>
      </c>
      <c r="D205" t="s">
        <v>16</v>
      </c>
      <c r="E205" t="s">
        <v>13</v>
      </c>
      <c r="F205">
        <v>7380</v>
      </c>
      <c r="G205" s="1">
        <v>45224</v>
      </c>
      <c r="I205">
        <v>13</v>
      </c>
      <c r="J205" t="s">
        <v>18</v>
      </c>
      <c r="K205" t="s">
        <v>20</v>
      </c>
    </row>
    <row r="206" spans="1:11" x14ac:dyDescent="0.3">
      <c r="A206">
        <v>416</v>
      </c>
      <c r="B206" t="s">
        <v>227</v>
      </c>
      <c r="C206">
        <v>43</v>
      </c>
      <c r="D206" t="s">
        <v>12</v>
      </c>
      <c r="E206" t="s">
        <v>21</v>
      </c>
      <c r="F206">
        <v>4117</v>
      </c>
      <c r="G206" s="1">
        <v>42297</v>
      </c>
      <c r="I206">
        <v>5</v>
      </c>
      <c r="J206" t="s">
        <v>18</v>
      </c>
      <c r="K206" t="s">
        <v>15</v>
      </c>
    </row>
    <row r="207" spans="1:11" x14ac:dyDescent="0.3">
      <c r="A207">
        <v>418</v>
      </c>
      <c r="B207" t="s">
        <v>228</v>
      </c>
      <c r="C207">
        <v>39</v>
      </c>
      <c r="D207" t="s">
        <v>26</v>
      </c>
      <c r="E207" t="s">
        <v>13</v>
      </c>
      <c r="F207">
        <v>3677</v>
      </c>
      <c r="G207" s="1">
        <v>42220</v>
      </c>
      <c r="I207">
        <v>3</v>
      </c>
      <c r="J207" t="s">
        <v>14</v>
      </c>
      <c r="K207" t="s">
        <v>19</v>
      </c>
    </row>
    <row r="208" spans="1:11" x14ac:dyDescent="0.3">
      <c r="A208">
        <v>419</v>
      </c>
      <c r="B208" t="s">
        <v>229</v>
      </c>
      <c r="C208">
        <v>27</v>
      </c>
      <c r="D208" t="s">
        <v>26</v>
      </c>
      <c r="E208" t="s">
        <v>13</v>
      </c>
      <c r="F208">
        <v>5837</v>
      </c>
      <c r="G208" s="1">
        <v>45612</v>
      </c>
      <c r="I208">
        <v>14</v>
      </c>
      <c r="J208" t="s">
        <v>14</v>
      </c>
      <c r="K208" t="s">
        <v>20</v>
      </c>
    </row>
    <row r="209" spans="1:11" x14ac:dyDescent="0.3">
      <c r="A209">
        <v>420</v>
      </c>
      <c r="B209" t="s">
        <v>230</v>
      </c>
      <c r="C209">
        <v>64</v>
      </c>
      <c r="D209" t="s">
        <v>26</v>
      </c>
      <c r="E209" t="s">
        <v>17</v>
      </c>
      <c r="F209">
        <v>8406</v>
      </c>
      <c r="G209" s="1">
        <v>45585</v>
      </c>
      <c r="I209">
        <v>7</v>
      </c>
      <c r="J209" t="s">
        <v>23</v>
      </c>
      <c r="K209" t="s">
        <v>19</v>
      </c>
    </row>
    <row r="210" spans="1:11" x14ac:dyDescent="0.3">
      <c r="A210">
        <v>422</v>
      </c>
      <c r="B210" t="s">
        <v>231</v>
      </c>
      <c r="C210">
        <v>19</v>
      </c>
      <c r="D210" t="s">
        <v>12</v>
      </c>
      <c r="E210" t="s">
        <v>21</v>
      </c>
      <c r="F210">
        <v>8798</v>
      </c>
      <c r="G210" s="1">
        <v>42162</v>
      </c>
      <c r="H210">
        <v>5</v>
      </c>
      <c r="I210">
        <v>15</v>
      </c>
      <c r="J210" t="s">
        <v>18</v>
      </c>
      <c r="K210" t="s">
        <v>19</v>
      </c>
    </row>
    <row r="211" spans="1:11" x14ac:dyDescent="0.3">
      <c r="A211">
        <v>423</v>
      </c>
      <c r="B211" t="s">
        <v>232</v>
      </c>
      <c r="C211">
        <v>30</v>
      </c>
      <c r="D211" t="s">
        <v>26</v>
      </c>
      <c r="E211" t="s">
        <v>21</v>
      </c>
      <c r="F211">
        <v>5836</v>
      </c>
      <c r="G211" s="1">
        <v>44990</v>
      </c>
      <c r="I211">
        <v>11</v>
      </c>
      <c r="J211" t="s">
        <v>14</v>
      </c>
      <c r="K211" t="s">
        <v>19</v>
      </c>
    </row>
    <row r="212" spans="1:11" x14ac:dyDescent="0.3">
      <c r="A212">
        <v>430</v>
      </c>
      <c r="B212" t="s">
        <v>234</v>
      </c>
      <c r="C212">
        <v>62</v>
      </c>
      <c r="D212" t="s">
        <v>12</v>
      </c>
      <c r="E212" t="s">
        <v>21</v>
      </c>
      <c r="F212">
        <v>4753</v>
      </c>
      <c r="G212" s="1">
        <v>43995</v>
      </c>
      <c r="I212">
        <v>20</v>
      </c>
      <c r="J212" t="s">
        <v>18</v>
      </c>
      <c r="K212" t="s">
        <v>20</v>
      </c>
    </row>
    <row r="213" spans="1:11" x14ac:dyDescent="0.3">
      <c r="A213">
        <v>434</v>
      </c>
      <c r="B213" t="s">
        <v>235</v>
      </c>
      <c r="C213">
        <v>26</v>
      </c>
      <c r="D213" t="s">
        <v>12</v>
      </c>
      <c r="E213" t="s">
        <v>13</v>
      </c>
      <c r="F213">
        <v>6763</v>
      </c>
      <c r="G213" s="1">
        <v>42844</v>
      </c>
      <c r="H213">
        <v>1</v>
      </c>
      <c r="I213">
        <v>16</v>
      </c>
      <c r="J213" t="s">
        <v>18</v>
      </c>
      <c r="K213" t="s">
        <v>20</v>
      </c>
    </row>
    <row r="214" spans="1:11" x14ac:dyDescent="0.3">
      <c r="A214">
        <v>436</v>
      </c>
      <c r="B214" t="s">
        <v>236</v>
      </c>
      <c r="C214">
        <v>37</v>
      </c>
      <c r="D214" t="s">
        <v>26</v>
      </c>
      <c r="E214" t="s">
        <v>13</v>
      </c>
      <c r="F214">
        <v>5439</v>
      </c>
      <c r="G214" s="1">
        <v>42544</v>
      </c>
      <c r="H214">
        <v>2</v>
      </c>
      <c r="I214">
        <v>14</v>
      </c>
      <c r="J214" t="s">
        <v>23</v>
      </c>
      <c r="K214" t="s">
        <v>20</v>
      </c>
    </row>
    <row r="215" spans="1:11" x14ac:dyDescent="0.3">
      <c r="A215">
        <v>440</v>
      </c>
      <c r="B215" t="s">
        <v>237</v>
      </c>
      <c r="C215">
        <v>60</v>
      </c>
      <c r="D215" t="s">
        <v>16</v>
      </c>
      <c r="E215" t="s">
        <v>21</v>
      </c>
      <c r="F215">
        <v>7865</v>
      </c>
      <c r="G215" s="1">
        <v>42255</v>
      </c>
      <c r="H215">
        <v>2</v>
      </c>
      <c r="I215">
        <v>8</v>
      </c>
      <c r="J215" t="s">
        <v>14</v>
      </c>
      <c r="K215" t="s">
        <v>20</v>
      </c>
    </row>
    <row r="216" spans="1:11" x14ac:dyDescent="0.3">
      <c r="A216">
        <v>441</v>
      </c>
      <c r="B216" t="s">
        <v>238</v>
      </c>
      <c r="C216">
        <v>43</v>
      </c>
      <c r="D216" t="s">
        <v>12</v>
      </c>
      <c r="E216" t="s">
        <v>17</v>
      </c>
      <c r="F216">
        <v>4246</v>
      </c>
      <c r="G216" s="1">
        <v>43628</v>
      </c>
      <c r="I216">
        <v>11</v>
      </c>
      <c r="J216" t="s">
        <v>18</v>
      </c>
      <c r="K216" t="s">
        <v>19</v>
      </c>
    </row>
    <row r="217" spans="1:11" x14ac:dyDescent="0.3">
      <c r="A217">
        <v>442</v>
      </c>
      <c r="B217" t="s">
        <v>239</v>
      </c>
      <c r="C217">
        <v>53</v>
      </c>
      <c r="D217" t="s">
        <v>16</v>
      </c>
      <c r="E217" t="s">
        <v>21</v>
      </c>
      <c r="F217">
        <v>5333</v>
      </c>
      <c r="G217" s="1">
        <v>44931</v>
      </c>
      <c r="I217">
        <v>19</v>
      </c>
      <c r="J217" t="s">
        <v>14</v>
      </c>
      <c r="K217" t="s">
        <v>19</v>
      </c>
    </row>
    <row r="218" spans="1:11" x14ac:dyDescent="0.3">
      <c r="A218">
        <v>444</v>
      </c>
      <c r="B218" t="s">
        <v>240</v>
      </c>
      <c r="C218">
        <v>65</v>
      </c>
      <c r="D218" t="s">
        <v>12</v>
      </c>
      <c r="E218" t="s">
        <v>21</v>
      </c>
      <c r="F218">
        <v>6442</v>
      </c>
      <c r="G218" s="1">
        <v>43484</v>
      </c>
      <c r="H218">
        <v>4</v>
      </c>
      <c r="I218">
        <v>14</v>
      </c>
      <c r="J218" t="s">
        <v>14</v>
      </c>
      <c r="K218" t="s">
        <v>19</v>
      </c>
    </row>
    <row r="219" spans="1:11" x14ac:dyDescent="0.3">
      <c r="A219">
        <v>445</v>
      </c>
      <c r="B219" t="s">
        <v>241</v>
      </c>
      <c r="C219">
        <v>48</v>
      </c>
      <c r="D219" t="s">
        <v>12</v>
      </c>
      <c r="E219" t="s">
        <v>13</v>
      </c>
      <c r="F219">
        <v>4183</v>
      </c>
      <c r="G219" s="1">
        <v>44107</v>
      </c>
      <c r="H219">
        <v>4</v>
      </c>
      <c r="I219">
        <v>6</v>
      </c>
      <c r="J219" t="s">
        <v>23</v>
      </c>
      <c r="K219" t="s">
        <v>19</v>
      </c>
    </row>
    <row r="220" spans="1:11" x14ac:dyDescent="0.3">
      <c r="A220">
        <v>447</v>
      </c>
      <c r="B220" t="s">
        <v>242</v>
      </c>
      <c r="C220">
        <v>45</v>
      </c>
      <c r="D220" t="s">
        <v>12</v>
      </c>
      <c r="E220" t="s">
        <v>13</v>
      </c>
      <c r="F220">
        <v>8888</v>
      </c>
      <c r="G220" s="1">
        <v>45149</v>
      </c>
      <c r="I220">
        <v>13</v>
      </c>
      <c r="J220" t="s">
        <v>23</v>
      </c>
      <c r="K220" t="s">
        <v>19</v>
      </c>
    </row>
    <row r="221" spans="1:11" x14ac:dyDescent="0.3">
      <c r="A221">
        <v>448</v>
      </c>
      <c r="B221" t="s">
        <v>243</v>
      </c>
      <c r="C221">
        <v>57</v>
      </c>
      <c r="D221" t="s">
        <v>12</v>
      </c>
      <c r="E221" t="s">
        <v>13</v>
      </c>
      <c r="F221">
        <v>8958</v>
      </c>
      <c r="G221" s="1">
        <v>44354</v>
      </c>
      <c r="H221">
        <v>1</v>
      </c>
      <c r="I221">
        <v>1</v>
      </c>
      <c r="J221" t="s">
        <v>23</v>
      </c>
      <c r="K221" t="s">
        <v>20</v>
      </c>
    </row>
    <row r="222" spans="1:11" x14ac:dyDescent="0.3">
      <c r="A222">
        <v>451</v>
      </c>
      <c r="B222" t="s">
        <v>244</v>
      </c>
      <c r="C222">
        <v>63</v>
      </c>
      <c r="D222" t="s">
        <v>16</v>
      </c>
      <c r="E222" t="s">
        <v>17</v>
      </c>
      <c r="F222">
        <v>2663</v>
      </c>
      <c r="G222" s="1">
        <v>43677</v>
      </c>
      <c r="I222">
        <v>16</v>
      </c>
      <c r="J222" t="s">
        <v>18</v>
      </c>
      <c r="K222" t="s">
        <v>19</v>
      </c>
    </row>
    <row r="223" spans="1:11" x14ac:dyDescent="0.3">
      <c r="A223">
        <v>452</v>
      </c>
      <c r="B223" t="s">
        <v>245</v>
      </c>
      <c r="C223">
        <v>41</v>
      </c>
      <c r="D223" t="s">
        <v>12</v>
      </c>
      <c r="E223" t="s">
        <v>17</v>
      </c>
      <c r="F223">
        <v>3824</v>
      </c>
      <c r="G223" s="1">
        <v>43393</v>
      </c>
      <c r="I223">
        <v>9</v>
      </c>
      <c r="J223" t="s">
        <v>14</v>
      </c>
      <c r="K223" t="s">
        <v>20</v>
      </c>
    </row>
    <row r="224" spans="1:11" x14ac:dyDescent="0.3">
      <c r="A224">
        <v>453</v>
      </c>
      <c r="B224" t="s">
        <v>246</v>
      </c>
      <c r="C224">
        <v>23</v>
      </c>
      <c r="D224" t="s">
        <v>16</v>
      </c>
      <c r="E224" t="s">
        <v>21</v>
      </c>
      <c r="F224">
        <v>2978</v>
      </c>
      <c r="G224" s="1">
        <v>44698</v>
      </c>
      <c r="H224">
        <v>2</v>
      </c>
      <c r="I224">
        <v>5</v>
      </c>
      <c r="J224" t="s">
        <v>23</v>
      </c>
      <c r="K224" t="s">
        <v>19</v>
      </c>
    </row>
    <row r="225" spans="1:11" x14ac:dyDescent="0.3">
      <c r="A225">
        <v>461</v>
      </c>
      <c r="B225" t="s">
        <v>247</v>
      </c>
      <c r="C225">
        <v>27</v>
      </c>
      <c r="D225" t="s">
        <v>12</v>
      </c>
      <c r="E225" t="s">
        <v>13</v>
      </c>
      <c r="F225">
        <v>9861</v>
      </c>
      <c r="G225" s="1">
        <v>42099</v>
      </c>
      <c r="H225">
        <v>3</v>
      </c>
      <c r="I225">
        <v>10</v>
      </c>
      <c r="J225" t="s">
        <v>23</v>
      </c>
      <c r="K225" t="s">
        <v>20</v>
      </c>
    </row>
    <row r="226" spans="1:11" x14ac:dyDescent="0.3">
      <c r="A226">
        <v>463</v>
      </c>
      <c r="B226" t="s">
        <v>248</v>
      </c>
      <c r="C226">
        <v>57</v>
      </c>
      <c r="D226" t="s">
        <v>16</v>
      </c>
      <c r="E226" t="s">
        <v>17</v>
      </c>
      <c r="F226">
        <v>2495</v>
      </c>
      <c r="G226" s="1">
        <v>45321</v>
      </c>
      <c r="I226">
        <v>9</v>
      </c>
      <c r="J226" t="s">
        <v>14</v>
      </c>
      <c r="K226" t="s">
        <v>15</v>
      </c>
    </row>
    <row r="227" spans="1:11" x14ac:dyDescent="0.3">
      <c r="A227">
        <v>465</v>
      </c>
      <c r="B227" t="s">
        <v>249</v>
      </c>
      <c r="C227">
        <v>35</v>
      </c>
      <c r="D227" t="s">
        <v>12</v>
      </c>
      <c r="E227" t="s">
        <v>21</v>
      </c>
      <c r="F227">
        <v>6622</v>
      </c>
      <c r="G227" s="1">
        <v>43839</v>
      </c>
      <c r="I227">
        <v>19</v>
      </c>
      <c r="J227" t="s">
        <v>23</v>
      </c>
      <c r="K227" t="s">
        <v>15</v>
      </c>
    </row>
    <row r="228" spans="1:11" x14ac:dyDescent="0.3">
      <c r="A228">
        <v>466</v>
      </c>
      <c r="B228" t="s">
        <v>250</v>
      </c>
      <c r="C228">
        <v>21</v>
      </c>
      <c r="D228" t="s">
        <v>26</v>
      </c>
      <c r="E228" t="s">
        <v>21</v>
      </c>
      <c r="F228">
        <v>6980</v>
      </c>
      <c r="G228" s="1">
        <v>43173</v>
      </c>
      <c r="I228">
        <v>1</v>
      </c>
      <c r="J228" t="s">
        <v>18</v>
      </c>
      <c r="K228" t="s">
        <v>20</v>
      </c>
    </row>
    <row r="229" spans="1:11" x14ac:dyDescent="0.3">
      <c r="A229">
        <v>469</v>
      </c>
      <c r="B229" t="s">
        <v>251</v>
      </c>
      <c r="C229">
        <v>29</v>
      </c>
      <c r="D229" t="s">
        <v>12</v>
      </c>
      <c r="E229" t="s">
        <v>21</v>
      </c>
      <c r="F229">
        <v>4297</v>
      </c>
      <c r="G229" s="1">
        <v>45262</v>
      </c>
      <c r="H229">
        <v>4</v>
      </c>
      <c r="I229">
        <v>10</v>
      </c>
      <c r="J229" t="s">
        <v>23</v>
      </c>
      <c r="K229" t="s">
        <v>19</v>
      </c>
    </row>
    <row r="230" spans="1:11" x14ac:dyDescent="0.3">
      <c r="A230">
        <v>471</v>
      </c>
      <c r="B230" t="s">
        <v>252</v>
      </c>
      <c r="C230">
        <v>44</v>
      </c>
      <c r="D230" t="s">
        <v>16</v>
      </c>
      <c r="E230" t="s">
        <v>21</v>
      </c>
      <c r="F230">
        <v>6741</v>
      </c>
      <c r="G230" s="1">
        <v>42174</v>
      </c>
      <c r="I230">
        <v>10</v>
      </c>
      <c r="J230" t="s">
        <v>18</v>
      </c>
      <c r="K230" t="s">
        <v>19</v>
      </c>
    </row>
    <row r="231" spans="1:11" x14ac:dyDescent="0.3">
      <c r="A231">
        <v>472</v>
      </c>
      <c r="B231" t="s">
        <v>253</v>
      </c>
      <c r="C231">
        <v>65</v>
      </c>
      <c r="D231" t="s">
        <v>16</v>
      </c>
      <c r="E231" t="s">
        <v>21</v>
      </c>
      <c r="F231">
        <v>5473</v>
      </c>
      <c r="G231" s="1">
        <v>44126</v>
      </c>
      <c r="I231">
        <v>13</v>
      </c>
      <c r="J231" t="s">
        <v>14</v>
      </c>
      <c r="K231" t="s">
        <v>19</v>
      </c>
    </row>
    <row r="232" spans="1:11" x14ac:dyDescent="0.3">
      <c r="A232">
        <v>474</v>
      </c>
      <c r="B232" t="s">
        <v>254</v>
      </c>
      <c r="C232">
        <v>56</v>
      </c>
      <c r="D232" t="s">
        <v>26</v>
      </c>
      <c r="E232" t="s">
        <v>21</v>
      </c>
      <c r="F232">
        <v>2016</v>
      </c>
      <c r="G232" s="1">
        <v>44025</v>
      </c>
      <c r="I232">
        <v>18</v>
      </c>
      <c r="J232" t="s">
        <v>14</v>
      </c>
      <c r="K232" t="s">
        <v>20</v>
      </c>
    </row>
    <row r="233" spans="1:11" x14ac:dyDescent="0.3">
      <c r="A233">
        <v>475</v>
      </c>
      <c r="B233" t="s">
        <v>255</v>
      </c>
      <c r="C233">
        <v>65</v>
      </c>
      <c r="D233" t="s">
        <v>12</v>
      </c>
      <c r="E233" t="s">
        <v>17</v>
      </c>
      <c r="F233">
        <v>3820</v>
      </c>
      <c r="G233" s="1">
        <v>45325</v>
      </c>
      <c r="H233">
        <v>4</v>
      </c>
      <c r="I233">
        <v>2</v>
      </c>
      <c r="J233" t="s">
        <v>23</v>
      </c>
      <c r="K233" t="s">
        <v>15</v>
      </c>
    </row>
    <row r="234" spans="1:11" x14ac:dyDescent="0.3">
      <c r="A234">
        <v>478</v>
      </c>
      <c r="B234" t="s">
        <v>256</v>
      </c>
      <c r="C234">
        <v>19</v>
      </c>
      <c r="D234" t="s">
        <v>26</v>
      </c>
      <c r="E234" t="s">
        <v>17</v>
      </c>
      <c r="F234">
        <v>8893</v>
      </c>
      <c r="G234" s="1">
        <v>45610</v>
      </c>
      <c r="I234">
        <v>7</v>
      </c>
      <c r="J234" t="s">
        <v>23</v>
      </c>
      <c r="K234" t="s">
        <v>19</v>
      </c>
    </row>
    <row r="235" spans="1:11" x14ac:dyDescent="0.3">
      <c r="A235">
        <v>479</v>
      </c>
      <c r="B235" t="s">
        <v>257</v>
      </c>
      <c r="C235">
        <v>28</v>
      </c>
      <c r="D235" t="s">
        <v>26</v>
      </c>
      <c r="E235" t="s">
        <v>17</v>
      </c>
      <c r="F235">
        <v>8039</v>
      </c>
      <c r="G235" s="1">
        <v>45477</v>
      </c>
      <c r="I235">
        <v>8</v>
      </c>
      <c r="J235" t="s">
        <v>23</v>
      </c>
      <c r="K235" t="s">
        <v>19</v>
      </c>
    </row>
    <row r="236" spans="1:11" x14ac:dyDescent="0.3">
      <c r="A236">
        <v>480</v>
      </c>
      <c r="B236" t="s">
        <v>258</v>
      </c>
      <c r="C236">
        <v>28</v>
      </c>
      <c r="D236" t="s">
        <v>16</v>
      </c>
      <c r="E236" t="s">
        <v>13</v>
      </c>
      <c r="F236">
        <v>5496</v>
      </c>
      <c r="G236" s="1">
        <v>42025</v>
      </c>
      <c r="I236">
        <v>18</v>
      </c>
      <c r="J236" t="s">
        <v>23</v>
      </c>
      <c r="K236" t="s">
        <v>15</v>
      </c>
    </row>
    <row r="237" spans="1:11" x14ac:dyDescent="0.3">
      <c r="A237">
        <v>482</v>
      </c>
      <c r="B237" t="s">
        <v>259</v>
      </c>
      <c r="C237">
        <v>28</v>
      </c>
      <c r="D237" t="s">
        <v>26</v>
      </c>
      <c r="E237" t="s">
        <v>21</v>
      </c>
      <c r="F237">
        <v>6725</v>
      </c>
      <c r="G237" s="1">
        <v>42584</v>
      </c>
      <c r="H237">
        <v>5</v>
      </c>
      <c r="I237">
        <v>16</v>
      </c>
      <c r="J237" t="s">
        <v>23</v>
      </c>
      <c r="K237" t="s">
        <v>15</v>
      </c>
    </row>
    <row r="238" spans="1:11" x14ac:dyDescent="0.3">
      <c r="A238">
        <v>484</v>
      </c>
      <c r="B238" t="s">
        <v>260</v>
      </c>
      <c r="C238">
        <v>43</v>
      </c>
      <c r="D238" t="s">
        <v>12</v>
      </c>
      <c r="E238" t="s">
        <v>21</v>
      </c>
      <c r="F238">
        <v>3929</v>
      </c>
      <c r="G238" s="1">
        <v>42792</v>
      </c>
      <c r="H238">
        <v>1</v>
      </c>
      <c r="I238">
        <v>17</v>
      </c>
      <c r="J238" t="s">
        <v>23</v>
      </c>
      <c r="K238" t="s">
        <v>19</v>
      </c>
    </row>
    <row r="239" spans="1:11" x14ac:dyDescent="0.3">
      <c r="A239">
        <v>485</v>
      </c>
      <c r="B239" t="s">
        <v>261</v>
      </c>
      <c r="C239">
        <v>27</v>
      </c>
      <c r="D239" t="s">
        <v>26</v>
      </c>
      <c r="E239" t="s">
        <v>21</v>
      </c>
      <c r="F239">
        <v>6050</v>
      </c>
      <c r="G239" s="1">
        <v>43044</v>
      </c>
      <c r="H239">
        <v>5</v>
      </c>
      <c r="I239">
        <v>15</v>
      </c>
      <c r="J239" t="s">
        <v>23</v>
      </c>
      <c r="K239" t="s">
        <v>15</v>
      </c>
    </row>
    <row r="240" spans="1:11" x14ac:dyDescent="0.3">
      <c r="A240">
        <v>486</v>
      </c>
      <c r="B240" t="s">
        <v>262</v>
      </c>
      <c r="C240">
        <v>64</v>
      </c>
      <c r="D240" t="s">
        <v>26</v>
      </c>
      <c r="E240" t="s">
        <v>21</v>
      </c>
      <c r="F240">
        <v>8514</v>
      </c>
      <c r="G240" s="1">
        <v>44337</v>
      </c>
      <c r="H240">
        <v>2</v>
      </c>
      <c r="I240">
        <v>8</v>
      </c>
      <c r="J240" t="s">
        <v>14</v>
      </c>
      <c r="K240" t="s">
        <v>20</v>
      </c>
    </row>
    <row r="241" spans="1:11" x14ac:dyDescent="0.3">
      <c r="A241">
        <v>490</v>
      </c>
      <c r="B241" t="s">
        <v>263</v>
      </c>
      <c r="C241">
        <v>55</v>
      </c>
      <c r="D241" t="s">
        <v>16</v>
      </c>
      <c r="E241" t="s">
        <v>17</v>
      </c>
      <c r="F241">
        <v>5001</v>
      </c>
      <c r="G241" s="1">
        <v>42681</v>
      </c>
      <c r="H241">
        <v>4</v>
      </c>
      <c r="I241">
        <v>7</v>
      </c>
      <c r="J241" t="s">
        <v>23</v>
      </c>
      <c r="K241" t="s">
        <v>19</v>
      </c>
    </row>
    <row r="242" spans="1:11" x14ac:dyDescent="0.3">
      <c r="A242">
        <v>491</v>
      </c>
      <c r="B242" t="s">
        <v>264</v>
      </c>
      <c r="C242">
        <v>22</v>
      </c>
      <c r="D242" t="s">
        <v>16</v>
      </c>
      <c r="E242" t="s">
        <v>17</v>
      </c>
      <c r="F242">
        <v>5217</v>
      </c>
      <c r="G242" s="1">
        <v>43602</v>
      </c>
      <c r="I242">
        <v>12</v>
      </c>
      <c r="J242" t="s">
        <v>23</v>
      </c>
      <c r="K242" t="s">
        <v>19</v>
      </c>
    </row>
    <row r="243" spans="1:11" x14ac:dyDescent="0.3">
      <c r="A243">
        <v>493</v>
      </c>
      <c r="B243" t="s">
        <v>265</v>
      </c>
      <c r="C243">
        <v>42</v>
      </c>
      <c r="D243" t="s">
        <v>16</v>
      </c>
      <c r="E243" t="s">
        <v>13</v>
      </c>
      <c r="F243">
        <v>2106</v>
      </c>
      <c r="G243" s="1">
        <v>42776</v>
      </c>
      <c r="H243">
        <v>2</v>
      </c>
      <c r="I243">
        <v>9</v>
      </c>
      <c r="J243" t="s">
        <v>23</v>
      </c>
      <c r="K243" t="s">
        <v>15</v>
      </c>
    </row>
    <row r="244" spans="1:11" x14ac:dyDescent="0.3">
      <c r="A244">
        <v>499</v>
      </c>
      <c r="B244" t="s">
        <v>266</v>
      </c>
      <c r="C244">
        <v>62</v>
      </c>
      <c r="D244" t="s">
        <v>16</v>
      </c>
      <c r="E244" t="s">
        <v>21</v>
      </c>
      <c r="F244">
        <v>6359</v>
      </c>
      <c r="G244" s="1">
        <v>44208</v>
      </c>
      <c r="H244">
        <v>2</v>
      </c>
      <c r="I244">
        <v>15</v>
      </c>
      <c r="J244" t="s">
        <v>18</v>
      </c>
      <c r="K244" t="s">
        <v>19</v>
      </c>
    </row>
    <row r="245" spans="1:11" x14ac:dyDescent="0.3">
      <c r="A245">
        <v>501</v>
      </c>
      <c r="B245" t="s">
        <v>267</v>
      </c>
      <c r="C245">
        <v>22</v>
      </c>
      <c r="D245" t="s">
        <v>26</v>
      </c>
      <c r="E245" t="s">
        <v>13</v>
      </c>
      <c r="F245">
        <v>6558</v>
      </c>
      <c r="G245" s="1">
        <v>44499</v>
      </c>
      <c r="H245">
        <v>1</v>
      </c>
      <c r="I245">
        <v>14</v>
      </c>
      <c r="J245" t="s">
        <v>23</v>
      </c>
      <c r="K245" t="s">
        <v>15</v>
      </c>
    </row>
    <row r="246" spans="1:11" x14ac:dyDescent="0.3">
      <c r="A246">
        <v>502</v>
      </c>
      <c r="B246" t="s">
        <v>268</v>
      </c>
      <c r="C246">
        <v>32</v>
      </c>
      <c r="D246" t="s">
        <v>26</v>
      </c>
      <c r="E246" t="s">
        <v>17</v>
      </c>
      <c r="F246">
        <v>7401</v>
      </c>
      <c r="G246" s="1">
        <v>44040</v>
      </c>
      <c r="I246">
        <v>8</v>
      </c>
      <c r="J246" t="s">
        <v>18</v>
      </c>
      <c r="K246" t="s">
        <v>19</v>
      </c>
    </row>
    <row r="247" spans="1:11" x14ac:dyDescent="0.3">
      <c r="A247">
        <v>503</v>
      </c>
      <c r="B247" t="s">
        <v>269</v>
      </c>
      <c r="C247">
        <v>28</v>
      </c>
      <c r="D247" t="s">
        <v>12</v>
      </c>
      <c r="E247" t="s">
        <v>21</v>
      </c>
      <c r="F247">
        <v>8308</v>
      </c>
      <c r="G247" s="1">
        <v>43394</v>
      </c>
      <c r="H247">
        <v>5</v>
      </c>
      <c r="I247">
        <v>18</v>
      </c>
      <c r="J247" t="s">
        <v>18</v>
      </c>
      <c r="K247" t="s">
        <v>15</v>
      </c>
    </row>
    <row r="248" spans="1:11" x14ac:dyDescent="0.3">
      <c r="A248">
        <v>504</v>
      </c>
      <c r="B248" t="s">
        <v>270</v>
      </c>
      <c r="C248">
        <v>25</v>
      </c>
      <c r="D248" t="s">
        <v>26</v>
      </c>
      <c r="E248" t="s">
        <v>17</v>
      </c>
      <c r="F248">
        <v>2712</v>
      </c>
      <c r="G248" s="1">
        <v>42518</v>
      </c>
      <c r="I248">
        <v>10</v>
      </c>
      <c r="J248" t="s">
        <v>23</v>
      </c>
      <c r="K248" t="s">
        <v>20</v>
      </c>
    </row>
    <row r="249" spans="1:11" x14ac:dyDescent="0.3">
      <c r="A249">
        <v>507</v>
      </c>
      <c r="B249" t="s">
        <v>271</v>
      </c>
      <c r="C249">
        <v>62</v>
      </c>
      <c r="D249" t="s">
        <v>16</v>
      </c>
      <c r="E249" t="s">
        <v>21</v>
      </c>
      <c r="F249">
        <v>3980</v>
      </c>
      <c r="G249" s="1">
        <v>45300</v>
      </c>
      <c r="I249">
        <v>9</v>
      </c>
      <c r="J249" t="s">
        <v>14</v>
      </c>
      <c r="K249" t="s">
        <v>20</v>
      </c>
    </row>
    <row r="250" spans="1:11" x14ac:dyDescent="0.3">
      <c r="A250">
        <v>509</v>
      </c>
      <c r="B250" t="s">
        <v>272</v>
      </c>
      <c r="C250">
        <v>32</v>
      </c>
      <c r="D250" t="s">
        <v>12</v>
      </c>
      <c r="E250" t="s">
        <v>21</v>
      </c>
      <c r="F250">
        <v>3726</v>
      </c>
      <c r="G250" s="1">
        <v>44480</v>
      </c>
      <c r="I250">
        <v>4</v>
      </c>
      <c r="J250" t="s">
        <v>23</v>
      </c>
      <c r="K250" t="s">
        <v>15</v>
      </c>
    </row>
    <row r="251" spans="1:11" x14ac:dyDescent="0.3">
      <c r="A251">
        <v>511</v>
      </c>
      <c r="B251" t="s">
        <v>273</v>
      </c>
      <c r="C251">
        <v>24</v>
      </c>
      <c r="D251" t="s">
        <v>12</v>
      </c>
      <c r="E251" t="s">
        <v>21</v>
      </c>
      <c r="F251">
        <v>5716</v>
      </c>
      <c r="G251" s="1">
        <v>43812</v>
      </c>
      <c r="H251">
        <v>5</v>
      </c>
      <c r="I251">
        <v>15</v>
      </c>
      <c r="J251" t="s">
        <v>23</v>
      </c>
      <c r="K251" t="s">
        <v>15</v>
      </c>
    </row>
    <row r="252" spans="1:11" x14ac:dyDescent="0.3">
      <c r="A252">
        <v>512</v>
      </c>
      <c r="B252" t="s">
        <v>274</v>
      </c>
      <c r="C252">
        <v>56</v>
      </c>
      <c r="D252" t="s">
        <v>26</v>
      </c>
      <c r="E252" t="s">
        <v>13</v>
      </c>
      <c r="F252">
        <v>7339</v>
      </c>
      <c r="G252" s="1">
        <v>44932</v>
      </c>
      <c r="I252">
        <v>1</v>
      </c>
      <c r="J252" t="s">
        <v>14</v>
      </c>
      <c r="K252" t="s">
        <v>19</v>
      </c>
    </row>
    <row r="253" spans="1:11" x14ac:dyDescent="0.3">
      <c r="A253">
        <v>513</v>
      </c>
      <c r="B253" t="s">
        <v>275</v>
      </c>
      <c r="C253">
        <v>41</v>
      </c>
      <c r="D253" t="s">
        <v>26</v>
      </c>
      <c r="E253" t="s">
        <v>13</v>
      </c>
      <c r="F253">
        <v>3067</v>
      </c>
      <c r="G253" s="1">
        <v>45266</v>
      </c>
      <c r="H253">
        <v>2</v>
      </c>
      <c r="I253">
        <v>19</v>
      </c>
      <c r="J253" t="s">
        <v>18</v>
      </c>
      <c r="K253" t="s">
        <v>19</v>
      </c>
    </row>
    <row r="254" spans="1:11" x14ac:dyDescent="0.3">
      <c r="A254">
        <v>516</v>
      </c>
      <c r="B254" t="s">
        <v>276</v>
      </c>
      <c r="C254">
        <v>42</v>
      </c>
      <c r="D254" t="s">
        <v>12</v>
      </c>
      <c r="E254" t="s">
        <v>21</v>
      </c>
      <c r="F254">
        <v>4243</v>
      </c>
      <c r="G254" s="1">
        <v>45070</v>
      </c>
      <c r="H254">
        <v>3</v>
      </c>
      <c r="I254">
        <v>2</v>
      </c>
      <c r="J254" t="s">
        <v>18</v>
      </c>
      <c r="K254" t="s">
        <v>19</v>
      </c>
    </row>
    <row r="255" spans="1:11" x14ac:dyDescent="0.3">
      <c r="A255">
        <v>517</v>
      </c>
      <c r="B255" t="s">
        <v>277</v>
      </c>
      <c r="C255">
        <v>35</v>
      </c>
      <c r="D255" t="s">
        <v>12</v>
      </c>
      <c r="E255" t="s">
        <v>17</v>
      </c>
      <c r="F255">
        <v>9630</v>
      </c>
      <c r="G255" s="1">
        <v>43284</v>
      </c>
      <c r="I255">
        <v>1</v>
      </c>
      <c r="J255" t="s">
        <v>18</v>
      </c>
      <c r="K255" t="s">
        <v>15</v>
      </c>
    </row>
    <row r="256" spans="1:11" x14ac:dyDescent="0.3">
      <c r="A256">
        <v>518</v>
      </c>
      <c r="B256" t="s">
        <v>278</v>
      </c>
      <c r="C256">
        <v>37</v>
      </c>
      <c r="D256" t="s">
        <v>16</v>
      </c>
      <c r="E256" t="s">
        <v>21</v>
      </c>
      <c r="F256">
        <v>9844</v>
      </c>
      <c r="G256" s="1">
        <v>44163</v>
      </c>
      <c r="I256">
        <v>4</v>
      </c>
      <c r="J256" t="s">
        <v>18</v>
      </c>
      <c r="K256" t="s">
        <v>20</v>
      </c>
    </row>
    <row r="257" spans="1:11" x14ac:dyDescent="0.3">
      <c r="A257">
        <v>519</v>
      </c>
      <c r="B257" t="s">
        <v>279</v>
      </c>
      <c r="C257">
        <v>46</v>
      </c>
      <c r="D257" t="s">
        <v>12</v>
      </c>
      <c r="E257" t="s">
        <v>13</v>
      </c>
      <c r="F257">
        <v>6688</v>
      </c>
      <c r="G257" s="1">
        <v>43591</v>
      </c>
      <c r="I257">
        <v>16</v>
      </c>
      <c r="J257" t="s">
        <v>14</v>
      </c>
      <c r="K257" t="s">
        <v>15</v>
      </c>
    </row>
    <row r="258" spans="1:11" x14ac:dyDescent="0.3">
      <c r="A258">
        <v>522</v>
      </c>
      <c r="B258" t="s">
        <v>280</v>
      </c>
      <c r="C258">
        <v>18</v>
      </c>
      <c r="D258" t="s">
        <v>12</v>
      </c>
      <c r="E258" t="s">
        <v>13</v>
      </c>
      <c r="F258">
        <v>2302</v>
      </c>
      <c r="G258" s="1">
        <v>45299</v>
      </c>
      <c r="I258">
        <v>6</v>
      </c>
      <c r="J258" t="s">
        <v>14</v>
      </c>
      <c r="K258" t="s">
        <v>15</v>
      </c>
    </row>
    <row r="259" spans="1:11" x14ac:dyDescent="0.3">
      <c r="A259">
        <v>525</v>
      </c>
      <c r="B259" t="s">
        <v>281</v>
      </c>
      <c r="C259">
        <v>19</v>
      </c>
      <c r="D259" t="s">
        <v>16</v>
      </c>
      <c r="E259" t="s">
        <v>13</v>
      </c>
      <c r="F259">
        <v>8100</v>
      </c>
      <c r="G259" s="1">
        <v>43502</v>
      </c>
      <c r="H259">
        <v>1</v>
      </c>
      <c r="I259">
        <v>4</v>
      </c>
      <c r="J259" t="s">
        <v>23</v>
      </c>
      <c r="K259" t="s">
        <v>15</v>
      </c>
    </row>
    <row r="260" spans="1:11" x14ac:dyDescent="0.3">
      <c r="A260">
        <v>528</v>
      </c>
      <c r="B260" t="s">
        <v>282</v>
      </c>
      <c r="C260">
        <v>18</v>
      </c>
      <c r="D260" t="s">
        <v>26</v>
      </c>
      <c r="E260" t="s">
        <v>17</v>
      </c>
      <c r="F260">
        <v>4941</v>
      </c>
      <c r="G260" s="1">
        <v>44906</v>
      </c>
      <c r="H260">
        <v>5</v>
      </c>
      <c r="I260">
        <v>19</v>
      </c>
      <c r="J260" t="s">
        <v>18</v>
      </c>
      <c r="K260" t="s">
        <v>20</v>
      </c>
    </row>
    <row r="261" spans="1:11" x14ac:dyDescent="0.3">
      <c r="A261">
        <v>529</v>
      </c>
      <c r="B261" t="s">
        <v>283</v>
      </c>
      <c r="C261">
        <v>44</v>
      </c>
      <c r="D261" t="s">
        <v>26</v>
      </c>
      <c r="E261" t="s">
        <v>17</v>
      </c>
      <c r="F261">
        <v>6936</v>
      </c>
      <c r="G261" s="1">
        <v>42694</v>
      </c>
      <c r="H261">
        <v>2</v>
      </c>
      <c r="I261">
        <v>2</v>
      </c>
      <c r="J261" t="s">
        <v>23</v>
      </c>
      <c r="K261" t="s">
        <v>19</v>
      </c>
    </row>
    <row r="262" spans="1:11" x14ac:dyDescent="0.3">
      <c r="A262">
        <v>530</v>
      </c>
      <c r="B262" t="s">
        <v>284</v>
      </c>
      <c r="C262">
        <v>40</v>
      </c>
      <c r="D262" t="s">
        <v>12</v>
      </c>
      <c r="E262" t="s">
        <v>13</v>
      </c>
      <c r="F262">
        <v>7002</v>
      </c>
      <c r="G262" s="1">
        <v>43683</v>
      </c>
      <c r="H262">
        <v>2</v>
      </c>
      <c r="I262">
        <v>20</v>
      </c>
      <c r="J262" t="s">
        <v>18</v>
      </c>
      <c r="K262" t="s">
        <v>15</v>
      </c>
    </row>
    <row r="263" spans="1:11" x14ac:dyDescent="0.3">
      <c r="A263">
        <v>534</v>
      </c>
      <c r="B263" t="s">
        <v>285</v>
      </c>
      <c r="C263">
        <v>53</v>
      </c>
      <c r="D263" t="s">
        <v>16</v>
      </c>
      <c r="E263" t="s">
        <v>13</v>
      </c>
      <c r="F263">
        <v>3093</v>
      </c>
      <c r="G263" s="1">
        <v>42666</v>
      </c>
      <c r="H263">
        <v>3</v>
      </c>
      <c r="I263">
        <v>7</v>
      </c>
      <c r="J263" t="s">
        <v>14</v>
      </c>
      <c r="K263" t="s">
        <v>15</v>
      </c>
    </row>
    <row r="264" spans="1:11" x14ac:dyDescent="0.3">
      <c r="A264">
        <v>535</v>
      </c>
      <c r="B264" t="s">
        <v>286</v>
      </c>
      <c r="C264">
        <v>28</v>
      </c>
      <c r="D264" t="s">
        <v>12</v>
      </c>
      <c r="E264" t="s">
        <v>17</v>
      </c>
      <c r="F264">
        <v>4004</v>
      </c>
      <c r="G264" s="1">
        <v>42665</v>
      </c>
      <c r="I264">
        <v>10</v>
      </c>
      <c r="J264" t="s">
        <v>23</v>
      </c>
      <c r="K264" t="s">
        <v>20</v>
      </c>
    </row>
    <row r="265" spans="1:11" x14ac:dyDescent="0.3">
      <c r="A265">
        <v>540</v>
      </c>
      <c r="B265" t="s">
        <v>287</v>
      </c>
      <c r="C265">
        <v>39</v>
      </c>
      <c r="D265" t="s">
        <v>12</v>
      </c>
      <c r="E265" t="s">
        <v>21</v>
      </c>
      <c r="F265">
        <v>9823</v>
      </c>
      <c r="G265" s="1">
        <v>43557</v>
      </c>
      <c r="I265">
        <v>1</v>
      </c>
      <c r="J265" t="s">
        <v>23</v>
      </c>
      <c r="K265" t="s">
        <v>15</v>
      </c>
    </row>
    <row r="266" spans="1:11" x14ac:dyDescent="0.3">
      <c r="A266">
        <v>541</v>
      </c>
      <c r="B266" t="s">
        <v>288</v>
      </c>
      <c r="C266">
        <v>53</v>
      </c>
      <c r="D266" t="s">
        <v>12</v>
      </c>
      <c r="E266" t="s">
        <v>13</v>
      </c>
      <c r="F266">
        <v>6092</v>
      </c>
      <c r="G266" s="1">
        <v>44440</v>
      </c>
      <c r="I266">
        <v>16</v>
      </c>
      <c r="J266" t="s">
        <v>14</v>
      </c>
      <c r="K266" t="s">
        <v>19</v>
      </c>
    </row>
    <row r="267" spans="1:11" x14ac:dyDescent="0.3">
      <c r="A267">
        <v>542</v>
      </c>
      <c r="B267" t="s">
        <v>289</v>
      </c>
      <c r="C267">
        <v>46</v>
      </c>
      <c r="D267" t="s">
        <v>12</v>
      </c>
      <c r="E267" t="s">
        <v>17</v>
      </c>
      <c r="F267">
        <v>5594</v>
      </c>
      <c r="G267" s="1">
        <v>42618</v>
      </c>
      <c r="I267">
        <v>3</v>
      </c>
      <c r="J267" t="s">
        <v>23</v>
      </c>
      <c r="K267" t="s">
        <v>19</v>
      </c>
    </row>
    <row r="268" spans="1:11" x14ac:dyDescent="0.3">
      <c r="A268">
        <v>544</v>
      </c>
      <c r="B268" t="s">
        <v>290</v>
      </c>
      <c r="C268">
        <v>63</v>
      </c>
      <c r="D268" t="s">
        <v>16</v>
      </c>
      <c r="E268" t="s">
        <v>13</v>
      </c>
      <c r="F268">
        <v>9838</v>
      </c>
      <c r="G268" s="1">
        <v>42165</v>
      </c>
      <c r="H268">
        <v>5</v>
      </c>
      <c r="I268">
        <v>20</v>
      </c>
      <c r="J268" t="s">
        <v>18</v>
      </c>
      <c r="K268" t="s">
        <v>20</v>
      </c>
    </row>
    <row r="269" spans="1:11" x14ac:dyDescent="0.3">
      <c r="A269">
        <v>546</v>
      </c>
      <c r="B269" t="s">
        <v>291</v>
      </c>
      <c r="C269">
        <v>31</v>
      </c>
      <c r="D269" t="s">
        <v>26</v>
      </c>
      <c r="E269" t="s">
        <v>21</v>
      </c>
      <c r="F269">
        <v>8103</v>
      </c>
      <c r="G269" s="1">
        <v>43974</v>
      </c>
      <c r="H269">
        <v>5</v>
      </c>
      <c r="I269">
        <v>4</v>
      </c>
      <c r="J269" t="s">
        <v>23</v>
      </c>
      <c r="K269" t="s">
        <v>15</v>
      </c>
    </row>
    <row r="270" spans="1:11" x14ac:dyDescent="0.3">
      <c r="A270">
        <v>550</v>
      </c>
      <c r="B270" t="s">
        <v>292</v>
      </c>
      <c r="C270">
        <v>26</v>
      </c>
      <c r="D270" t="s">
        <v>26</v>
      </c>
      <c r="E270" t="s">
        <v>17</v>
      </c>
      <c r="F270">
        <v>5184</v>
      </c>
      <c r="G270" s="1">
        <v>43443</v>
      </c>
      <c r="I270">
        <v>11</v>
      </c>
      <c r="J270" t="s">
        <v>23</v>
      </c>
      <c r="K270" t="s">
        <v>19</v>
      </c>
    </row>
    <row r="271" spans="1:11" x14ac:dyDescent="0.3">
      <c r="A271">
        <v>552</v>
      </c>
      <c r="B271" t="s">
        <v>293</v>
      </c>
      <c r="C271">
        <v>48</v>
      </c>
      <c r="D271" t="s">
        <v>16</v>
      </c>
      <c r="E271" t="s">
        <v>21</v>
      </c>
      <c r="F271">
        <v>2152</v>
      </c>
      <c r="G271" s="1">
        <v>44016</v>
      </c>
      <c r="I271">
        <v>11</v>
      </c>
      <c r="J271" t="s">
        <v>18</v>
      </c>
      <c r="K271" t="s">
        <v>20</v>
      </c>
    </row>
    <row r="272" spans="1:11" x14ac:dyDescent="0.3">
      <c r="A272">
        <v>553</v>
      </c>
      <c r="B272" t="s">
        <v>294</v>
      </c>
      <c r="C272">
        <v>26</v>
      </c>
      <c r="D272" t="s">
        <v>26</v>
      </c>
      <c r="E272" t="s">
        <v>17</v>
      </c>
      <c r="F272">
        <v>9704</v>
      </c>
      <c r="G272" s="1">
        <v>43615</v>
      </c>
      <c r="I272">
        <v>9</v>
      </c>
      <c r="J272" t="s">
        <v>14</v>
      </c>
      <c r="K272" t="s">
        <v>19</v>
      </c>
    </row>
    <row r="273" spans="1:11" x14ac:dyDescent="0.3">
      <c r="A273">
        <v>556</v>
      </c>
      <c r="B273" t="s">
        <v>295</v>
      </c>
      <c r="C273">
        <v>29</v>
      </c>
      <c r="D273" t="s">
        <v>12</v>
      </c>
      <c r="E273" t="s">
        <v>13</v>
      </c>
      <c r="F273">
        <v>8220</v>
      </c>
      <c r="G273" s="1">
        <v>43789</v>
      </c>
      <c r="H273">
        <v>5</v>
      </c>
      <c r="I273">
        <v>11</v>
      </c>
      <c r="J273" t="s">
        <v>18</v>
      </c>
      <c r="K273" t="s">
        <v>20</v>
      </c>
    </row>
    <row r="274" spans="1:11" x14ac:dyDescent="0.3">
      <c r="A274">
        <v>557</v>
      </c>
      <c r="B274" t="s">
        <v>296</v>
      </c>
      <c r="C274">
        <v>24</v>
      </c>
      <c r="D274" t="s">
        <v>26</v>
      </c>
      <c r="E274" t="s">
        <v>21</v>
      </c>
      <c r="F274">
        <v>7887</v>
      </c>
      <c r="G274" s="1">
        <v>43122</v>
      </c>
      <c r="I274">
        <v>14</v>
      </c>
      <c r="J274" t="s">
        <v>23</v>
      </c>
      <c r="K274" t="s">
        <v>15</v>
      </c>
    </row>
    <row r="275" spans="1:11" x14ac:dyDescent="0.3">
      <c r="A275">
        <v>558</v>
      </c>
      <c r="B275" t="s">
        <v>297</v>
      </c>
      <c r="C275">
        <v>28</v>
      </c>
      <c r="D275" t="s">
        <v>26</v>
      </c>
      <c r="E275" t="s">
        <v>13</v>
      </c>
      <c r="F275">
        <v>9163</v>
      </c>
      <c r="G275" s="1">
        <v>43378</v>
      </c>
      <c r="H275">
        <v>2</v>
      </c>
      <c r="I275">
        <v>12</v>
      </c>
      <c r="J275" t="s">
        <v>18</v>
      </c>
      <c r="K275" t="s">
        <v>20</v>
      </c>
    </row>
    <row r="276" spans="1:11" x14ac:dyDescent="0.3">
      <c r="A276">
        <v>559</v>
      </c>
      <c r="B276" t="s">
        <v>298</v>
      </c>
      <c r="C276">
        <v>63</v>
      </c>
      <c r="D276" t="s">
        <v>12</v>
      </c>
      <c r="E276" t="s">
        <v>17</v>
      </c>
      <c r="F276">
        <v>2640</v>
      </c>
      <c r="G276" s="1">
        <v>44128</v>
      </c>
      <c r="I276">
        <v>3</v>
      </c>
      <c r="J276" t="s">
        <v>14</v>
      </c>
      <c r="K276" t="s">
        <v>20</v>
      </c>
    </row>
    <row r="277" spans="1:11" x14ac:dyDescent="0.3">
      <c r="A277">
        <v>560</v>
      </c>
      <c r="B277" t="s">
        <v>299</v>
      </c>
      <c r="C277">
        <v>39</v>
      </c>
      <c r="D277" t="s">
        <v>12</v>
      </c>
      <c r="E277" t="s">
        <v>17</v>
      </c>
      <c r="F277">
        <v>2831</v>
      </c>
      <c r="G277" s="1">
        <v>44642</v>
      </c>
      <c r="H277">
        <v>4</v>
      </c>
      <c r="I277">
        <v>8</v>
      </c>
      <c r="J277" t="s">
        <v>18</v>
      </c>
      <c r="K277" t="s">
        <v>19</v>
      </c>
    </row>
    <row r="278" spans="1:11" x14ac:dyDescent="0.3">
      <c r="A278">
        <v>565</v>
      </c>
      <c r="B278" t="s">
        <v>300</v>
      </c>
      <c r="C278">
        <v>50</v>
      </c>
      <c r="D278" t="s">
        <v>26</v>
      </c>
      <c r="E278" t="s">
        <v>21</v>
      </c>
      <c r="F278">
        <v>8941</v>
      </c>
      <c r="G278" s="1">
        <v>43355</v>
      </c>
      <c r="H278">
        <v>2</v>
      </c>
      <c r="I278">
        <v>11</v>
      </c>
      <c r="J278" t="s">
        <v>14</v>
      </c>
      <c r="K278" t="s">
        <v>20</v>
      </c>
    </row>
    <row r="279" spans="1:11" x14ac:dyDescent="0.3">
      <c r="A279">
        <v>569</v>
      </c>
      <c r="B279" t="s">
        <v>301</v>
      </c>
      <c r="C279">
        <v>55</v>
      </c>
      <c r="D279" t="s">
        <v>12</v>
      </c>
      <c r="E279" t="s">
        <v>17</v>
      </c>
      <c r="F279">
        <v>6345</v>
      </c>
      <c r="G279" s="1">
        <v>43530</v>
      </c>
      <c r="I279">
        <v>2</v>
      </c>
      <c r="J279" t="s">
        <v>18</v>
      </c>
      <c r="K279" t="s">
        <v>19</v>
      </c>
    </row>
    <row r="280" spans="1:11" x14ac:dyDescent="0.3">
      <c r="A280">
        <v>570</v>
      </c>
      <c r="B280" t="s">
        <v>302</v>
      </c>
      <c r="C280">
        <v>35</v>
      </c>
      <c r="D280" t="s">
        <v>16</v>
      </c>
      <c r="E280" t="s">
        <v>21</v>
      </c>
      <c r="F280">
        <v>2042</v>
      </c>
      <c r="G280" s="1">
        <v>42726</v>
      </c>
      <c r="I280">
        <v>4</v>
      </c>
      <c r="J280" t="s">
        <v>14</v>
      </c>
      <c r="K280" t="s">
        <v>19</v>
      </c>
    </row>
    <row r="281" spans="1:11" x14ac:dyDescent="0.3">
      <c r="A281">
        <v>571</v>
      </c>
      <c r="B281" t="s">
        <v>303</v>
      </c>
      <c r="C281">
        <v>18</v>
      </c>
      <c r="D281" t="s">
        <v>16</v>
      </c>
      <c r="E281" t="s">
        <v>13</v>
      </c>
      <c r="F281">
        <v>2392</v>
      </c>
      <c r="G281" s="1">
        <v>42802</v>
      </c>
      <c r="I281">
        <v>20</v>
      </c>
      <c r="J281" t="s">
        <v>18</v>
      </c>
      <c r="K281" t="s">
        <v>19</v>
      </c>
    </row>
    <row r="282" spans="1:11" x14ac:dyDescent="0.3">
      <c r="A282">
        <v>574</v>
      </c>
      <c r="B282" t="s">
        <v>304</v>
      </c>
      <c r="C282">
        <v>38</v>
      </c>
      <c r="D282" t="s">
        <v>26</v>
      </c>
      <c r="E282" t="s">
        <v>21</v>
      </c>
      <c r="F282">
        <v>3532</v>
      </c>
      <c r="G282" s="1">
        <v>43422</v>
      </c>
      <c r="I282">
        <v>1</v>
      </c>
      <c r="J282" t="s">
        <v>14</v>
      </c>
      <c r="K282" t="s">
        <v>20</v>
      </c>
    </row>
    <row r="283" spans="1:11" x14ac:dyDescent="0.3">
      <c r="A283">
        <v>575</v>
      </c>
      <c r="B283" t="s">
        <v>305</v>
      </c>
      <c r="C283">
        <v>27</v>
      </c>
      <c r="D283" t="s">
        <v>16</v>
      </c>
      <c r="E283" t="s">
        <v>13</v>
      </c>
      <c r="F283">
        <v>3247</v>
      </c>
      <c r="G283" s="1">
        <v>44461</v>
      </c>
      <c r="H283">
        <v>4</v>
      </c>
      <c r="I283">
        <v>11</v>
      </c>
      <c r="J283" t="s">
        <v>23</v>
      </c>
      <c r="K283" t="s">
        <v>20</v>
      </c>
    </row>
    <row r="284" spans="1:11" x14ac:dyDescent="0.3">
      <c r="A284">
        <v>577</v>
      </c>
      <c r="B284" t="s">
        <v>306</v>
      </c>
      <c r="C284">
        <v>49</v>
      </c>
      <c r="D284" t="s">
        <v>26</v>
      </c>
      <c r="E284" t="s">
        <v>17</v>
      </c>
      <c r="F284">
        <v>7111</v>
      </c>
      <c r="G284" s="1">
        <v>44635</v>
      </c>
      <c r="H284">
        <v>5</v>
      </c>
      <c r="I284">
        <v>18</v>
      </c>
      <c r="J284" t="s">
        <v>23</v>
      </c>
      <c r="K284" t="s">
        <v>15</v>
      </c>
    </row>
    <row r="285" spans="1:11" x14ac:dyDescent="0.3">
      <c r="A285">
        <v>578</v>
      </c>
      <c r="B285" t="s">
        <v>307</v>
      </c>
      <c r="C285">
        <v>28</v>
      </c>
      <c r="D285" t="s">
        <v>16</v>
      </c>
      <c r="E285" t="s">
        <v>21</v>
      </c>
      <c r="F285">
        <v>4002</v>
      </c>
      <c r="G285" s="1">
        <v>42088</v>
      </c>
      <c r="H285">
        <v>2</v>
      </c>
      <c r="I285">
        <v>12</v>
      </c>
      <c r="J285" t="s">
        <v>14</v>
      </c>
      <c r="K285" t="s">
        <v>19</v>
      </c>
    </row>
    <row r="286" spans="1:11" x14ac:dyDescent="0.3">
      <c r="A286">
        <v>580</v>
      </c>
      <c r="B286" t="s">
        <v>308</v>
      </c>
      <c r="C286">
        <v>32</v>
      </c>
      <c r="D286" t="s">
        <v>26</v>
      </c>
      <c r="E286" t="s">
        <v>13</v>
      </c>
      <c r="F286">
        <v>3736</v>
      </c>
      <c r="G286" s="1">
        <v>43369</v>
      </c>
      <c r="H286">
        <v>3</v>
      </c>
      <c r="I286">
        <v>17</v>
      </c>
      <c r="J286" t="s">
        <v>14</v>
      </c>
      <c r="K286" t="s">
        <v>19</v>
      </c>
    </row>
    <row r="287" spans="1:11" x14ac:dyDescent="0.3">
      <c r="A287">
        <v>582</v>
      </c>
      <c r="B287" t="s">
        <v>309</v>
      </c>
      <c r="C287">
        <v>35</v>
      </c>
      <c r="D287" t="s">
        <v>16</v>
      </c>
      <c r="E287" t="s">
        <v>21</v>
      </c>
      <c r="F287">
        <v>3433</v>
      </c>
      <c r="G287" s="1">
        <v>45358</v>
      </c>
      <c r="I287">
        <v>11</v>
      </c>
      <c r="J287" t="s">
        <v>14</v>
      </c>
      <c r="K287" t="s">
        <v>19</v>
      </c>
    </row>
    <row r="288" spans="1:11" x14ac:dyDescent="0.3">
      <c r="A288">
        <v>585</v>
      </c>
      <c r="B288" t="s">
        <v>310</v>
      </c>
      <c r="C288">
        <v>62</v>
      </c>
      <c r="D288" t="s">
        <v>12</v>
      </c>
      <c r="E288" t="s">
        <v>17</v>
      </c>
      <c r="F288">
        <v>2844</v>
      </c>
      <c r="G288" s="1">
        <v>42105</v>
      </c>
      <c r="H288">
        <v>5</v>
      </c>
      <c r="I288">
        <v>10</v>
      </c>
      <c r="J288" t="s">
        <v>14</v>
      </c>
      <c r="K288" t="s">
        <v>19</v>
      </c>
    </row>
    <row r="289" spans="1:11" x14ac:dyDescent="0.3">
      <c r="A289">
        <v>590</v>
      </c>
      <c r="B289" t="s">
        <v>311</v>
      </c>
      <c r="C289">
        <v>18</v>
      </c>
      <c r="D289" t="s">
        <v>12</v>
      </c>
      <c r="E289" t="s">
        <v>13</v>
      </c>
      <c r="F289">
        <v>7088</v>
      </c>
      <c r="G289" s="1">
        <v>44140</v>
      </c>
      <c r="I289">
        <v>7</v>
      </c>
      <c r="J289" t="s">
        <v>18</v>
      </c>
      <c r="K289" t="s">
        <v>15</v>
      </c>
    </row>
    <row r="290" spans="1:11" x14ac:dyDescent="0.3">
      <c r="A290">
        <v>593</v>
      </c>
      <c r="B290" t="s">
        <v>312</v>
      </c>
      <c r="C290">
        <v>47</v>
      </c>
      <c r="D290" t="s">
        <v>12</v>
      </c>
      <c r="E290" t="s">
        <v>17</v>
      </c>
      <c r="F290">
        <v>7876</v>
      </c>
      <c r="G290" s="1">
        <v>43585</v>
      </c>
      <c r="H290">
        <v>2</v>
      </c>
      <c r="I290">
        <v>1</v>
      </c>
      <c r="J290" t="s">
        <v>18</v>
      </c>
      <c r="K290" t="s">
        <v>20</v>
      </c>
    </row>
    <row r="291" spans="1:11" x14ac:dyDescent="0.3">
      <c r="A291">
        <v>594</v>
      </c>
      <c r="B291" t="s">
        <v>313</v>
      </c>
      <c r="C291">
        <v>28</v>
      </c>
      <c r="D291" t="s">
        <v>16</v>
      </c>
      <c r="E291" t="s">
        <v>13</v>
      </c>
      <c r="F291">
        <v>8165</v>
      </c>
      <c r="G291" s="1">
        <v>44192</v>
      </c>
      <c r="I291">
        <v>4</v>
      </c>
      <c r="J291" t="s">
        <v>23</v>
      </c>
      <c r="K291" t="s">
        <v>19</v>
      </c>
    </row>
    <row r="292" spans="1:11" x14ac:dyDescent="0.3">
      <c r="A292">
        <v>595</v>
      </c>
      <c r="B292" t="s">
        <v>314</v>
      </c>
      <c r="C292">
        <v>35</v>
      </c>
      <c r="D292" t="s">
        <v>16</v>
      </c>
      <c r="E292" t="s">
        <v>17</v>
      </c>
      <c r="F292">
        <v>9906</v>
      </c>
      <c r="G292" s="1">
        <v>43452</v>
      </c>
      <c r="I292">
        <v>9</v>
      </c>
      <c r="J292" t="s">
        <v>18</v>
      </c>
      <c r="K292" t="s">
        <v>19</v>
      </c>
    </row>
    <row r="293" spans="1:11" x14ac:dyDescent="0.3">
      <c r="A293">
        <v>598</v>
      </c>
      <c r="B293" t="s">
        <v>315</v>
      </c>
      <c r="C293">
        <v>20</v>
      </c>
      <c r="D293" t="s">
        <v>26</v>
      </c>
      <c r="E293" t="s">
        <v>13</v>
      </c>
      <c r="F293">
        <v>2256</v>
      </c>
      <c r="G293" s="1">
        <v>43931</v>
      </c>
      <c r="I293">
        <v>9</v>
      </c>
      <c r="J293" t="s">
        <v>14</v>
      </c>
      <c r="K293" t="s">
        <v>19</v>
      </c>
    </row>
    <row r="294" spans="1:11" x14ac:dyDescent="0.3">
      <c r="A294">
        <v>600</v>
      </c>
      <c r="B294" t="s">
        <v>316</v>
      </c>
      <c r="C294">
        <v>20</v>
      </c>
      <c r="D294" t="s">
        <v>26</v>
      </c>
      <c r="E294" t="s">
        <v>13</v>
      </c>
      <c r="F294">
        <v>7375</v>
      </c>
      <c r="G294" s="1">
        <v>42415</v>
      </c>
      <c r="H294">
        <v>5</v>
      </c>
      <c r="I294">
        <v>2</v>
      </c>
      <c r="J294" t="s">
        <v>23</v>
      </c>
      <c r="K294" t="s">
        <v>15</v>
      </c>
    </row>
    <row r="295" spans="1:11" x14ac:dyDescent="0.3">
      <c r="A295">
        <v>602</v>
      </c>
      <c r="B295" t="s">
        <v>317</v>
      </c>
      <c r="C295">
        <v>52</v>
      </c>
      <c r="D295" t="s">
        <v>26</v>
      </c>
      <c r="E295" t="s">
        <v>17</v>
      </c>
      <c r="F295">
        <v>6509</v>
      </c>
      <c r="G295" s="1">
        <v>44323</v>
      </c>
      <c r="H295">
        <v>1</v>
      </c>
      <c r="I295">
        <v>1</v>
      </c>
      <c r="J295" t="s">
        <v>23</v>
      </c>
      <c r="K295" t="s">
        <v>20</v>
      </c>
    </row>
    <row r="296" spans="1:11" x14ac:dyDescent="0.3">
      <c r="A296">
        <v>605</v>
      </c>
      <c r="B296" t="s">
        <v>318</v>
      </c>
      <c r="C296">
        <v>65</v>
      </c>
      <c r="D296" t="s">
        <v>12</v>
      </c>
      <c r="E296" t="s">
        <v>17</v>
      </c>
      <c r="F296">
        <v>8054</v>
      </c>
      <c r="G296" s="1">
        <v>44565</v>
      </c>
      <c r="H296">
        <v>2</v>
      </c>
      <c r="I296">
        <v>9</v>
      </c>
      <c r="J296" t="s">
        <v>14</v>
      </c>
      <c r="K296" t="s">
        <v>15</v>
      </c>
    </row>
    <row r="297" spans="1:11" x14ac:dyDescent="0.3">
      <c r="A297">
        <v>608</v>
      </c>
      <c r="B297" t="s">
        <v>319</v>
      </c>
      <c r="C297">
        <v>48</v>
      </c>
      <c r="D297" t="s">
        <v>12</v>
      </c>
      <c r="E297" t="s">
        <v>17</v>
      </c>
      <c r="F297">
        <v>3845</v>
      </c>
      <c r="G297" s="1">
        <v>42261</v>
      </c>
      <c r="H297">
        <v>4</v>
      </c>
      <c r="I297">
        <v>13</v>
      </c>
      <c r="J297" t="s">
        <v>23</v>
      </c>
      <c r="K297" t="s">
        <v>15</v>
      </c>
    </row>
    <row r="298" spans="1:11" x14ac:dyDescent="0.3">
      <c r="A298">
        <v>610</v>
      </c>
      <c r="B298" t="s">
        <v>320</v>
      </c>
      <c r="C298">
        <v>62</v>
      </c>
      <c r="D298" t="s">
        <v>26</v>
      </c>
      <c r="E298" t="s">
        <v>17</v>
      </c>
      <c r="F298">
        <v>4160</v>
      </c>
      <c r="G298" s="1">
        <v>44433</v>
      </c>
      <c r="H298">
        <v>3</v>
      </c>
      <c r="I298">
        <v>12</v>
      </c>
      <c r="J298" t="s">
        <v>23</v>
      </c>
      <c r="K298" t="s">
        <v>15</v>
      </c>
    </row>
    <row r="299" spans="1:11" x14ac:dyDescent="0.3">
      <c r="A299">
        <v>611</v>
      </c>
      <c r="B299" t="s">
        <v>321</v>
      </c>
      <c r="C299">
        <v>50</v>
      </c>
      <c r="D299" t="s">
        <v>26</v>
      </c>
      <c r="E299" t="s">
        <v>17</v>
      </c>
      <c r="F299">
        <v>6272</v>
      </c>
      <c r="G299" s="1">
        <v>43119</v>
      </c>
      <c r="I299">
        <v>1</v>
      </c>
      <c r="J299" t="s">
        <v>14</v>
      </c>
      <c r="K299" t="s">
        <v>15</v>
      </c>
    </row>
    <row r="300" spans="1:11" x14ac:dyDescent="0.3">
      <c r="A300">
        <v>613</v>
      </c>
      <c r="B300" t="s">
        <v>322</v>
      </c>
      <c r="C300">
        <v>64</v>
      </c>
      <c r="D300" t="s">
        <v>16</v>
      </c>
      <c r="E300" t="s">
        <v>21</v>
      </c>
      <c r="F300">
        <v>9282</v>
      </c>
      <c r="G300" s="1">
        <v>42649</v>
      </c>
      <c r="I300">
        <v>20</v>
      </c>
      <c r="J300" t="s">
        <v>14</v>
      </c>
      <c r="K300" t="s">
        <v>19</v>
      </c>
    </row>
    <row r="301" spans="1:11" x14ac:dyDescent="0.3">
      <c r="A301">
        <v>614</v>
      </c>
      <c r="B301" t="s">
        <v>179</v>
      </c>
      <c r="C301">
        <v>64</v>
      </c>
      <c r="D301" t="s">
        <v>16</v>
      </c>
      <c r="E301" t="s">
        <v>13</v>
      </c>
      <c r="F301">
        <v>5152</v>
      </c>
      <c r="G301" s="1">
        <v>43590</v>
      </c>
      <c r="I301">
        <v>15</v>
      </c>
      <c r="J301" t="s">
        <v>14</v>
      </c>
      <c r="K301" t="s">
        <v>15</v>
      </c>
    </row>
    <row r="302" spans="1:11" x14ac:dyDescent="0.3">
      <c r="A302">
        <v>615</v>
      </c>
      <c r="B302" t="s">
        <v>323</v>
      </c>
      <c r="C302">
        <v>53</v>
      </c>
      <c r="D302" t="s">
        <v>26</v>
      </c>
      <c r="E302" t="s">
        <v>13</v>
      </c>
      <c r="F302">
        <v>4213</v>
      </c>
      <c r="G302" s="1">
        <v>43272</v>
      </c>
      <c r="I302">
        <v>1</v>
      </c>
      <c r="J302" t="s">
        <v>18</v>
      </c>
      <c r="K302" t="s">
        <v>20</v>
      </c>
    </row>
    <row r="303" spans="1:11" x14ac:dyDescent="0.3">
      <c r="A303">
        <v>616</v>
      </c>
      <c r="B303" t="s">
        <v>324</v>
      </c>
      <c r="C303">
        <v>59</v>
      </c>
      <c r="D303" t="s">
        <v>26</v>
      </c>
      <c r="E303" t="s">
        <v>21</v>
      </c>
      <c r="F303">
        <v>3105</v>
      </c>
      <c r="G303" s="1">
        <v>42925</v>
      </c>
      <c r="H303">
        <v>3</v>
      </c>
      <c r="I303">
        <v>9</v>
      </c>
      <c r="J303" t="s">
        <v>18</v>
      </c>
      <c r="K303" t="s">
        <v>15</v>
      </c>
    </row>
    <row r="304" spans="1:11" x14ac:dyDescent="0.3">
      <c r="A304">
        <v>618</v>
      </c>
      <c r="B304" t="s">
        <v>325</v>
      </c>
      <c r="C304">
        <v>36</v>
      </c>
      <c r="D304" t="s">
        <v>16</v>
      </c>
      <c r="E304" t="s">
        <v>21</v>
      </c>
      <c r="F304">
        <v>9775</v>
      </c>
      <c r="G304" s="1">
        <v>43428</v>
      </c>
      <c r="H304">
        <v>4</v>
      </c>
      <c r="I304">
        <v>5</v>
      </c>
      <c r="J304" t="s">
        <v>18</v>
      </c>
      <c r="K304" t="s">
        <v>15</v>
      </c>
    </row>
    <row r="305" spans="1:11" x14ac:dyDescent="0.3">
      <c r="A305">
        <v>619</v>
      </c>
      <c r="B305" t="s">
        <v>326</v>
      </c>
      <c r="C305">
        <v>63</v>
      </c>
      <c r="D305" t="s">
        <v>26</v>
      </c>
      <c r="E305" t="s">
        <v>21</v>
      </c>
      <c r="F305">
        <v>5417</v>
      </c>
      <c r="G305" s="1">
        <v>43804</v>
      </c>
      <c r="H305">
        <v>2</v>
      </c>
      <c r="I305">
        <v>11</v>
      </c>
      <c r="J305" t="s">
        <v>18</v>
      </c>
      <c r="K305" t="s">
        <v>19</v>
      </c>
    </row>
    <row r="306" spans="1:11" x14ac:dyDescent="0.3">
      <c r="A306">
        <v>620</v>
      </c>
      <c r="B306" t="s">
        <v>327</v>
      </c>
      <c r="C306">
        <v>31</v>
      </c>
      <c r="D306" t="s">
        <v>12</v>
      </c>
      <c r="E306" t="s">
        <v>21</v>
      </c>
      <c r="F306">
        <v>6675</v>
      </c>
      <c r="G306" s="1">
        <v>43029</v>
      </c>
      <c r="I306">
        <v>9</v>
      </c>
      <c r="J306" t="s">
        <v>14</v>
      </c>
      <c r="K306" t="s">
        <v>15</v>
      </c>
    </row>
    <row r="307" spans="1:11" x14ac:dyDescent="0.3">
      <c r="A307">
        <v>621</v>
      </c>
      <c r="B307" t="s">
        <v>328</v>
      </c>
      <c r="C307">
        <v>51</v>
      </c>
      <c r="D307" t="s">
        <v>16</v>
      </c>
      <c r="E307" t="s">
        <v>17</v>
      </c>
      <c r="F307">
        <v>5740</v>
      </c>
      <c r="G307" s="1">
        <v>45198</v>
      </c>
      <c r="I307">
        <v>17</v>
      </c>
      <c r="J307" t="s">
        <v>18</v>
      </c>
      <c r="K307" t="s">
        <v>19</v>
      </c>
    </row>
    <row r="308" spans="1:11" x14ac:dyDescent="0.3">
      <c r="A308">
        <v>623</v>
      </c>
      <c r="B308" t="s">
        <v>329</v>
      </c>
      <c r="C308">
        <v>26</v>
      </c>
      <c r="D308" t="s">
        <v>26</v>
      </c>
      <c r="E308" t="s">
        <v>17</v>
      </c>
      <c r="F308">
        <v>8377</v>
      </c>
      <c r="G308" s="1">
        <v>44735</v>
      </c>
      <c r="H308">
        <v>2</v>
      </c>
      <c r="I308">
        <v>7</v>
      </c>
      <c r="J308" t="s">
        <v>23</v>
      </c>
      <c r="K308" t="s">
        <v>20</v>
      </c>
    </row>
    <row r="309" spans="1:11" x14ac:dyDescent="0.3">
      <c r="A309">
        <v>625</v>
      </c>
      <c r="B309" t="s">
        <v>330</v>
      </c>
      <c r="C309">
        <v>64</v>
      </c>
      <c r="D309" t="s">
        <v>26</v>
      </c>
      <c r="E309" t="s">
        <v>21</v>
      </c>
      <c r="F309">
        <v>4232</v>
      </c>
      <c r="G309" s="1">
        <v>45067</v>
      </c>
      <c r="H309">
        <v>2</v>
      </c>
      <c r="I309">
        <v>10</v>
      </c>
      <c r="J309" t="s">
        <v>14</v>
      </c>
      <c r="K309" t="s">
        <v>15</v>
      </c>
    </row>
    <row r="310" spans="1:11" x14ac:dyDescent="0.3">
      <c r="A310">
        <v>628</v>
      </c>
      <c r="B310" t="s">
        <v>331</v>
      </c>
      <c r="C310">
        <v>20</v>
      </c>
      <c r="D310" t="s">
        <v>26</v>
      </c>
      <c r="E310" t="s">
        <v>13</v>
      </c>
      <c r="F310">
        <v>6165</v>
      </c>
      <c r="G310" s="1">
        <v>43091</v>
      </c>
      <c r="I310">
        <v>9</v>
      </c>
      <c r="J310" t="s">
        <v>14</v>
      </c>
      <c r="K310" t="s">
        <v>20</v>
      </c>
    </row>
    <row r="311" spans="1:11" x14ac:dyDescent="0.3">
      <c r="A311">
        <v>629</v>
      </c>
      <c r="B311" t="s">
        <v>332</v>
      </c>
      <c r="C311">
        <v>23</v>
      </c>
      <c r="D311" t="s">
        <v>26</v>
      </c>
      <c r="E311" t="s">
        <v>13</v>
      </c>
      <c r="F311">
        <v>3790</v>
      </c>
      <c r="G311" s="1">
        <v>45505</v>
      </c>
      <c r="H311">
        <v>2</v>
      </c>
      <c r="I311">
        <v>13</v>
      </c>
      <c r="J311" t="s">
        <v>14</v>
      </c>
      <c r="K311" t="s">
        <v>20</v>
      </c>
    </row>
    <row r="312" spans="1:11" x14ac:dyDescent="0.3">
      <c r="A312">
        <v>630</v>
      </c>
      <c r="B312" t="s">
        <v>233</v>
      </c>
      <c r="C312">
        <v>52</v>
      </c>
      <c r="D312" t="s">
        <v>16</v>
      </c>
      <c r="E312" t="s">
        <v>17</v>
      </c>
      <c r="F312">
        <v>9364</v>
      </c>
      <c r="G312" s="1">
        <v>43774</v>
      </c>
      <c r="I312">
        <v>5</v>
      </c>
      <c r="J312" t="s">
        <v>14</v>
      </c>
      <c r="K312" t="s">
        <v>19</v>
      </c>
    </row>
    <row r="313" spans="1:11" x14ac:dyDescent="0.3">
      <c r="A313">
        <v>631</v>
      </c>
      <c r="B313" t="s">
        <v>333</v>
      </c>
      <c r="C313">
        <v>21</v>
      </c>
      <c r="D313" t="s">
        <v>12</v>
      </c>
      <c r="E313" t="s">
        <v>17</v>
      </c>
      <c r="F313">
        <v>5970</v>
      </c>
      <c r="G313" s="1">
        <v>42683</v>
      </c>
      <c r="I313">
        <v>6</v>
      </c>
      <c r="J313" t="s">
        <v>18</v>
      </c>
      <c r="K313" t="s">
        <v>19</v>
      </c>
    </row>
    <row r="314" spans="1:11" x14ac:dyDescent="0.3">
      <c r="A314">
        <v>634</v>
      </c>
      <c r="B314" t="s">
        <v>334</v>
      </c>
      <c r="C314">
        <v>21</v>
      </c>
      <c r="D314" t="s">
        <v>12</v>
      </c>
      <c r="E314" t="s">
        <v>17</v>
      </c>
      <c r="F314">
        <v>3913</v>
      </c>
      <c r="G314" s="1">
        <v>43062</v>
      </c>
      <c r="I314">
        <v>9</v>
      </c>
      <c r="J314" t="s">
        <v>14</v>
      </c>
      <c r="K314" t="s">
        <v>19</v>
      </c>
    </row>
    <row r="315" spans="1:11" x14ac:dyDescent="0.3">
      <c r="A315">
        <v>635</v>
      </c>
      <c r="B315" t="s">
        <v>335</v>
      </c>
      <c r="C315">
        <v>65</v>
      </c>
      <c r="D315" t="s">
        <v>16</v>
      </c>
      <c r="E315" t="s">
        <v>21</v>
      </c>
      <c r="F315">
        <v>4565</v>
      </c>
      <c r="G315" s="1">
        <v>44661</v>
      </c>
      <c r="H315">
        <v>3</v>
      </c>
      <c r="I315">
        <v>2</v>
      </c>
      <c r="J315" t="s">
        <v>14</v>
      </c>
      <c r="K315" t="s">
        <v>15</v>
      </c>
    </row>
    <row r="316" spans="1:11" x14ac:dyDescent="0.3">
      <c r="A316">
        <v>636</v>
      </c>
      <c r="B316" t="s">
        <v>336</v>
      </c>
      <c r="C316">
        <v>37</v>
      </c>
      <c r="D316" t="s">
        <v>12</v>
      </c>
      <c r="E316" t="s">
        <v>17</v>
      </c>
      <c r="F316">
        <v>3622</v>
      </c>
      <c r="G316" s="1">
        <v>42776</v>
      </c>
      <c r="I316">
        <v>15</v>
      </c>
      <c r="J316" t="s">
        <v>18</v>
      </c>
      <c r="K316" t="s">
        <v>19</v>
      </c>
    </row>
    <row r="317" spans="1:11" x14ac:dyDescent="0.3">
      <c r="A317">
        <v>639</v>
      </c>
      <c r="B317" t="s">
        <v>337</v>
      </c>
      <c r="C317">
        <v>19</v>
      </c>
      <c r="D317" t="s">
        <v>26</v>
      </c>
      <c r="E317" t="s">
        <v>17</v>
      </c>
      <c r="F317">
        <v>2277</v>
      </c>
      <c r="G317" s="1">
        <v>43759</v>
      </c>
      <c r="H317">
        <v>1</v>
      </c>
      <c r="I317">
        <v>4</v>
      </c>
      <c r="J317" t="s">
        <v>18</v>
      </c>
      <c r="K317" t="s">
        <v>15</v>
      </c>
    </row>
    <row r="318" spans="1:11" x14ac:dyDescent="0.3">
      <c r="A318">
        <v>642</v>
      </c>
      <c r="B318" t="s">
        <v>338</v>
      </c>
      <c r="C318">
        <v>37</v>
      </c>
      <c r="D318" t="s">
        <v>26</v>
      </c>
      <c r="E318" t="s">
        <v>17</v>
      </c>
      <c r="F318">
        <v>6354</v>
      </c>
      <c r="G318" s="1">
        <v>44533</v>
      </c>
      <c r="I318">
        <v>9</v>
      </c>
      <c r="J318" t="s">
        <v>18</v>
      </c>
      <c r="K318" t="s">
        <v>15</v>
      </c>
    </row>
    <row r="319" spans="1:11" x14ac:dyDescent="0.3">
      <c r="A319">
        <v>644</v>
      </c>
      <c r="B319" t="s">
        <v>339</v>
      </c>
      <c r="C319">
        <v>40</v>
      </c>
      <c r="D319" t="s">
        <v>12</v>
      </c>
      <c r="E319" t="s">
        <v>13</v>
      </c>
      <c r="F319">
        <v>6918</v>
      </c>
      <c r="G319" s="1">
        <v>43499</v>
      </c>
      <c r="H319">
        <v>5</v>
      </c>
      <c r="I319">
        <v>1</v>
      </c>
      <c r="J319" t="s">
        <v>18</v>
      </c>
      <c r="K319" t="s">
        <v>15</v>
      </c>
    </row>
    <row r="320" spans="1:11" x14ac:dyDescent="0.3">
      <c r="A320">
        <v>645</v>
      </c>
      <c r="B320" t="s">
        <v>340</v>
      </c>
      <c r="C320">
        <v>33</v>
      </c>
      <c r="D320" t="s">
        <v>16</v>
      </c>
      <c r="E320" t="s">
        <v>21</v>
      </c>
      <c r="F320">
        <v>9323</v>
      </c>
      <c r="G320" s="1">
        <v>43024</v>
      </c>
      <c r="I320">
        <v>10</v>
      </c>
      <c r="J320" t="s">
        <v>23</v>
      </c>
      <c r="K320" t="s">
        <v>20</v>
      </c>
    </row>
    <row r="321" spans="1:11" x14ac:dyDescent="0.3">
      <c r="A321">
        <v>647</v>
      </c>
      <c r="B321" t="s">
        <v>341</v>
      </c>
      <c r="C321">
        <v>28</v>
      </c>
      <c r="D321" t="s">
        <v>16</v>
      </c>
      <c r="E321" t="s">
        <v>17</v>
      </c>
      <c r="F321">
        <v>8643</v>
      </c>
      <c r="G321" s="1">
        <v>43578</v>
      </c>
      <c r="H321">
        <v>1</v>
      </c>
      <c r="I321">
        <v>11</v>
      </c>
      <c r="J321" t="s">
        <v>23</v>
      </c>
      <c r="K321" t="s">
        <v>20</v>
      </c>
    </row>
    <row r="322" spans="1:11" x14ac:dyDescent="0.3">
      <c r="A322">
        <v>648</v>
      </c>
      <c r="B322" t="s">
        <v>342</v>
      </c>
      <c r="C322">
        <v>58</v>
      </c>
      <c r="D322" t="s">
        <v>26</v>
      </c>
      <c r="E322" t="s">
        <v>17</v>
      </c>
      <c r="F322">
        <v>4038</v>
      </c>
      <c r="G322" s="1">
        <v>44080</v>
      </c>
      <c r="H322">
        <v>3</v>
      </c>
      <c r="I322">
        <v>13</v>
      </c>
      <c r="J322" t="s">
        <v>18</v>
      </c>
      <c r="K322" t="s">
        <v>19</v>
      </c>
    </row>
    <row r="323" spans="1:11" x14ac:dyDescent="0.3">
      <c r="A323">
        <v>649</v>
      </c>
      <c r="B323" t="s">
        <v>343</v>
      </c>
      <c r="C323">
        <v>19</v>
      </c>
      <c r="D323" t="s">
        <v>16</v>
      </c>
      <c r="E323" t="s">
        <v>17</v>
      </c>
      <c r="F323">
        <v>8687</v>
      </c>
      <c r="G323" s="1">
        <v>42693</v>
      </c>
      <c r="I323">
        <v>9</v>
      </c>
      <c r="J323" t="s">
        <v>14</v>
      </c>
      <c r="K323" t="s">
        <v>20</v>
      </c>
    </row>
    <row r="324" spans="1:11" x14ac:dyDescent="0.3">
      <c r="A324">
        <v>651</v>
      </c>
      <c r="B324" t="s">
        <v>344</v>
      </c>
      <c r="C324">
        <v>57</v>
      </c>
      <c r="D324" t="s">
        <v>12</v>
      </c>
      <c r="E324" t="s">
        <v>13</v>
      </c>
      <c r="F324">
        <v>2850</v>
      </c>
      <c r="G324" s="1">
        <v>43762</v>
      </c>
      <c r="I324">
        <v>1</v>
      </c>
      <c r="J324" t="s">
        <v>18</v>
      </c>
      <c r="K324" t="s">
        <v>19</v>
      </c>
    </row>
    <row r="325" spans="1:11" x14ac:dyDescent="0.3">
      <c r="A325">
        <v>653</v>
      </c>
      <c r="B325" t="s">
        <v>345</v>
      </c>
      <c r="C325">
        <v>61</v>
      </c>
      <c r="D325" t="s">
        <v>26</v>
      </c>
      <c r="E325" t="s">
        <v>13</v>
      </c>
      <c r="F325">
        <v>5508</v>
      </c>
      <c r="G325" s="1">
        <v>42466</v>
      </c>
      <c r="H325">
        <v>5</v>
      </c>
      <c r="I325">
        <v>5</v>
      </c>
      <c r="J325" t="s">
        <v>18</v>
      </c>
      <c r="K325" t="s">
        <v>15</v>
      </c>
    </row>
    <row r="326" spans="1:11" x14ac:dyDescent="0.3">
      <c r="A326">
        <v>657</v>
      </c>
      <c r="B326" t="s">
        <v>346</v>
      </c>
      <c r="C326">
        <v>40</v>
      </c>
      <c r="D326" t="s">
        <v>16</v>
      </c>
      <c r="E326" t="s">
        <v>13</v>
      </c>
      <c r="F326">
        <v>4393</v>
      </c>
      <c r="G326" s="1">
        <v>44186</v>
      </c>
      <c r="I326">
        <v>7</v>
      </c>
      <c r="J326" t="s">
        <v>23</v>
      </c>
      <c r="K326" t="s">
        <v>15</v>
      </c>
    </row>
    <row r="327" spans="1:11" x14ac:dyDescent="0.3">
      <c r="A327">
        <v>659</v>
      </c>
      <c r="B327" t="s">
        <v>347</v>
      </c>
      <c r="C327">
        <v>20</v>
      </c>
      <c r="D327" t="s">
        <v>26</v>
      </c>
      <c r="E327" t="s">
        <v>13</v>
      </c>
      <c r="F327">
        <v>3500</v>
      </c>
      <c r="G327" s="1">
        <v>44054</v>
      </c>
      <c r="I327">
        <v>20</v>
      </c>
      <c r="J327" t="s">
        <v>14</v>
      </c>
      <c r="K327" t="s">
        <v>20</v>
      </c>
    </row>
    <row r="328" spans="1:11" x14ac:dyDescent="0.3">
      <c r="A328">
        <v>660</v>
      </c>
      <c r="B328" t="s">
        <v>348</v>
      </c>
      <c r="C328">
        <v>65</v>
      </c>
      <c r="D328" t="s">
        <v>12</v>
      </c>
      <c r="E328" t="s">
        <v>13</v>
      </c>
      <c r="F328">
        <v>5816</v>
      </c>
      <c r="G328" s="1">
        <v>44371</v>
      </c>
      <c r="H328">
        <v>4</v>
      </c>
      <c r="I328">
        <v>9</v>
      </c>
      <c r="J328" t="s">
        <v>23</v>
      </c>
      <c r="K328" t="s">
        <v>19</v>
      </c>
    </row>
    <row r="329" spans="1:11" x14ac:dyDescent="0.3">
      <c r="A329">
        <v>661</v>
      </c>
      <c r="B329" t="s">
        <v>349</v>
      </c>
      <c r="C329">
        <v>48</v>
      </c>
      <c r="D329" t="s">
        <v>12</v>
      </c>
      <c r="E329" t="s">
        <v>13</v>
      </c>
      <c r="F329">
        <v>8150</v>
      </c>
      <c r="G329" s="1">
        <v>42824</v>
      </c>
      <c r="I329">
        <v>3</v>
      </c>
      <c r="J329" t="s">
        <v>14</v>
      </c>
      <c r="K329" t="s">
        <v>15</v>
      </c>
    </row>
    <row r="330" spans="1:11" x14ac:dyDescent="0.3">
      <c r="A330">
        <v>664</v>
      </c>
      <c r="B330" t="s">
        <v>350</v>
      </c>
      <c r="C330">
        <v>51</v>
      </c>
      <c r="D330" t="s">
        <v>16</v>
      </c>
      <c r="E330" t="s">
        <v>21</v>
      </c>
      <c r="F330">
        <v>6903</v>
      </c>
      <c r="G330" s="1">
        <v>43992</v>
      </c>
      <c r="I330">
        <v>9</v>
      </c>
      <c r="J330" t="s">
        <v>23</v>
      </c>
      <c r="K330" t="s">
        <v>15</v>
      </c>
    </row>
    <row r="331" spans="1:11" x14ac:dyDescent="0.3">
      <c r="A331">
        <v>665</v>
      </c>
      <c r="B331" t="s">
        <v>351</v>
      </c>
      <c r="C331">
        <v>43</v>
      </c>
      <c r="D331" t="s">
        <v>12</v>
      </c>
      <c r="E331" t="s">
        <v>17</v>
      </c>
      <c r="F331">
        <v>9053</v>
      </c>
      <c r="G331" s="1">
        <v>45342</v>
      </c>
      <c r="H331">
        <v>1</v>
      </c>
      <c r="I331">
        <v>9</v>
      </c>
      <c r="J331" t="s">
        <v>14</v>
      </c>
      <c r="K331" t="s">
        <v>19</v>
      </c>
    </row>
    <row r="332" spans="1:11" x14ac:dyDescent="0.3">
      <c r="A332">
        <v>669</v>
      </c>
      <c r="B332" t="s">
        <v>352</v>
      </c>
      <c r="C332">
        <v>23</v>
      </c>
      <c r="D332" t="s">
        <v>26</v>
      </c>
      <c r="E332" t="s">
        <v>17</v>
      </c>
      <c r="F332">
        <v>8898</v>
      </c>
      <c r="G332" s="1">
        <v>43930</v>
      </c>
      <c r="H332">
        <v>1</v>
      </c>
      <c r="I332">
        <v>15</v>
      </c>
      <c r="J332" t="s">
        <v>14</v>
      </c>
      <c r="K332" t="s">
        <v>15</v>
      </c>
    </row>
    <row r="333" spans="1:11" x14ac:dyDescent="0.3">
      <c r="A333">
        <v>674</v>
      </c>
      <c r="B333" t="s">
        <v>353</v>
      </c>
      <c r="C333">
        <v>20</v>
      </c>
      <c r="D333" t="s">
        <v>12</v>
      </c>
      <c r="E333" t="s">
        <v>17</v>
      </c>
      <c r="F333">
        <v>2372</v>
      </c>
      <c r="G333" s="1">
        <v>43386</v>
      </c>
      <c r="H333">
        <v>4</v>
      </c>
      <c r="I333">
        <v>8</v>
      </c>
      <c r="J333" t="s">
        <v>23</v>
      </c>
      <c r="K333" t="s">
        <v>20</v>
      </c>
    </row>
    <row r="334" spans="1:11" x14ac:dyDescent="0.3">
      <c r="A334">
        <v>675</v>
      </c>
      <c r="B334" t="s">
        <v>354</v>
      </c>
      <c r="C334">
        <v>60</v>
      </c>
      <c r="D334" t="s">
        <v>26</v>
      </c>
      <c r="E334" t="s">
        <v>13</v>
      </c>
      <c r="F334">
        <v>3436</v>
      </c>
      <c r="G334" s="1">
        <v>44491</v>
      </c>
      <c r="H334">
        <v>1</v>
      </c>
      <c r="I334">
        <v>10</v>
      </c>
      <c r="J334" t="s">
        <v>18</v>
      </c>
      <c r="K334" t="s">
        <v>15</v>
      </c>
    </row>
    <row r="335" spans="1:11" x14ac:dyDescent="0.3">
      <c r="A335">
        <v>676</v>
      </c>
      <c r="B335" t="s">
        <v>355</v>
      </c>
      <c r="C335">
        <v>59</v>
      </c>
      <c r="D335" t="s">
        <v>16</v>
      </c>
      <c r="E335" t="s">
        <v>17</v>
      </c>
      <c r="F335">
        <v>8057</v>
      </c>
      <c r="G335" s="1">
        <v>44070</v>
      </c>
      <c r="I335">
        <v>6</v>
      </c>
      <c r="J335" t="s">
        <v>14</v>
      </c>
      <c r="K335" t="s">
        <v>19</v>
      </c>
    </row>
    <row r="336" spans="1:11" x14ac:dyDescent="0.3">
      <c r="A336">
        <v>678</v>
      </c>
      <c r="B336" t="s">
        <v>356</v>
      </c>
      <c r="C336">
        <v>35</v>
      </c>
      <c r="D336" t="s">
        <v>26</v>
      </c>
      <c r="E336" t="s">
        <v>13</v>
      </c>
      <c r="F336">
        <v>5900</v>
      </c>
      <c r="G336" s="1">
        <v>42119</v>
      </c>
      <c r="I336">
        <v>12</v>
      </c>
      <c r="J336" t="s">
        <v>23</v>
      </c>
      <c r="K336" t="s">
        <v>19</v>
      </c>
    </row>
    <row r="337" spans="1:11" x14ac:dyDescent="0.3">
      <c r="A337">
        <v>680</v>
      </c>
      <c r="B337" t="s">
        <v>357</v>
      </c>
      <c r="C337">
        <v>58</v>
      </c>
      <c r="D337" t="s">
        <v>12</v>
      </c>
      <c r="E337" t="s">
        <v>13</v>
      </c>
      <c r="F337">
        <v>2477</v>
      </c>
      <c r="G337" s="1">
        <v>45573</v>
      </c>
      <c r="I337">
        <v>4</v>
      </c>
      <c r="J337" t="s">
        <v>14</v>
      </c>
      <c r="K337" t="s">
        <v>20</v>
      </c>
    </row>
    <row r="338" spans="1:11" x14ac:dyDescent="0.3">
      <c r="A338">
        <v>681</v>
      </c>
      <c r="B338" t="s">
        <v>358</v>
      </c>
      <c r="C338">
        <v>19</v>
      </c>
      <c r="D338" t="s">
        <v>12</v>
      </c>
      <c r="E338" t="s">
        <v>21</v>
      </c>
      <c r="F338">
        <v>6725</v>
      </c>
      <c r="G338" s="1">
        <v>44859</v>
      </c>
      <c r="H338">
        <v>3</v>
      </c>
      <c r="I338">
        <v>6</v>
      </c>
      <c r="J338" t="s">
        <v>23</v>
      </c>
      <c r="K338" t="s">
        <v>20</v>
      </c>
    </row>
    <row r="339" spans="1:11" x14ac:dyDescent="0.3">
      <c r="A339">
        <v>684</v>
      </c>
      <c r="B339" t="s">
        <v>359</v>
      </c>
      <c r="C339">
        <v>48</v>
      </c>
      <c r="D339" t="s">
        <v>26</v>
      </c>
      <c r="E339" t="s">
        <v>13</v>
      </c>
      <c r="F339">
        <v>5309</v>
      </c>
      <c r="G339" s="1">
        <v>45014</v>
      </c>
      <c r="H339">
        <v>1</v>
      </c>
      <c r="I339">
        <v>5</v>
      </c>
      <c r="J339" t="s">
        <v>14</v>
      </c>
      <c r="K339" t="s">
        <v>20</v>
      </c>
    </row>
    <row r="340" spans="1:11" x14ac:dyDescent="0.3">
      <c r="A340">
        <v>687</v>
      </c>
      <c r="B340" t="s">
        <v>360</v>
      </c>
      <c r="C340">
        <v>20</v>
      </c>
      <c r="D340" t="s">
        <v>26</v>
      </c>
      <c r="E340" t="s">
        <v>17</v>
      </c>
      <c r="F340">
        <v>4483</v>
      </c>
      <c r="G340" s="1">
        <v>42580</v>
      </c>
      <c r="H340">
        <v>2</v>
      </c>
      <c r="I340">
        <v>19</v>
      </c>
      <c r="J340" t="s">
        <v>14</v>
      </c>
      <c r="K340" t="s">
        <v>15</v>
      </c>
    </row>
    <row r="341" spans="1:11" x14ac:dyDescent="0.3">
      <c r="A341">
        <v>688</v>
      </c>
      <c r="B341" t="s">
        <v>361</v>
      </c>
      <c r="C341">
        <v>20</v>
      </c>
      <c r="D341" t="s">
        <v>12</v>
      </c>
      <c r="E341" t="s">
        <v>21</v>
      </c>
      <c r="F341">
        <v>9044</v>
      </c>
      <c r="G341" s="1">
        <v>44477</v>
      </c>
      <c r="I341">
        <v>7</v>
      </c>
      <c r="J341" t="s">
        <v>18</v>
      </c>
      <c r="K341" t="s">
        <v>20</v>
      </c>
    </row>
    <row r="342" spans="1:11" x14ac:dyDescent="0.3">
      <c r="A342">
        <v>689</v>
      </c>
      <c r="B342" t="s">
        <v>362</v>
      </c>
      <c r="C342">
        <v>29</v>
      </c>
      <c r="D342" t="s">
        <v>26</v>
      </c>
      <c r="E342" t="s">
        <v>13</v>
      </c>
      <c r="F342">
        <v>3504</v>
      </c>
      <c r="G342" s="1">
        <v>42556</v>
      </c>
      <c r="I342">
        <v>10</v>
      </c>
      <c r="J342" t="s">
        <v>23</v>
      </c>
      <c r="K342" t="s">
        <v>19</v>
      </c>
    </row>
    <row r="343" spans="1:11" x14ac:dyDescent="0.3">
      <c r="A343">
        <v>690</v>
      </c>
      <c r="B343" t="s">
        <v>363</v>
      </c>
      <c r="C343">
        <v>35</v>
      </c>
      <c r="D343" t="s">
        <v>12</v>
      </c>
      <c r="E343" t="s">
        <v>13</v>
      </c>
      <c r="F343">
        <v>5531</v>
      </c>
      <c r="G343" s="1">
        <v>42748</v>
      </c>
      <c r="I343">
        <v>7</v>
      </c>
      <c r="J343" t="s">
        <v>23</v>
      </c>
      <c r="K343" t="s">
        <v>20</v>
      </c>
    </row>
    <row r="344" spans="1:11" x14ac:dyDescent="0.3">
      <c r="A344">
        <v>691</v>
      </c>
      <c r="B344" t="s">
        <v>364</v>
      </c>
      <c r="C344">
        <v>60</v>
      </c>
      <c r="D344" t="s">
        <v>16</v>
      </c>
      <c r="E344" t="s">
        <v>21</v>
      </c>
      <c r="F344">
        <v>4255</v>
      </c>
      <c r="G344" s="1">
        <v>44451</v>
      </c>
      <c r="I344">
        <v>17</v>
      </c>
      <c r="J344" t="s">
        <v>14</v>
      </c>
      <c r="K344" t="s">
        <v>19</v>
      </c>
    </row>
    <row r="345" spans="1:11" x14ac:dyDescent="0.3">
      <c r="A345">
        <v>692</v>
      </c>
      <c r="B345" t="s">
        <v>365</v>
      </c>
      <c r="C345">
        <v>47</v>
      </c>
      <c r="D345" t="s">
        <v>26</v>
      </c>
      <c r="E345" t="s">
        <v>17</v>
      </c>
      <c r="F345">
        <v>2145</v>
      </c>
      <c r="G345" s="1">
        <v>44431</v>
      </c>
      <c r="I345">
        <v>10</v>
      </c>
      <c r="J345" t="s">
        <v>23</v>
      </c>
      <c r="K345" t="s">
        <v>15</v>
      </c>
    </row>
    <row r="346" spans="1:11" x14ac:dyDescent="0.3">
      <c r="A346">
        <v>693</v>
      </c>
      <c r="B346" t="s">
        <v>366</v>
      </c>
      <c r="C346">
        <v>63</v>
      </c>
      <c r="D346" t="s">
        <v>26</v>
      </c>
      <c r="E346" t="s">
        <v>21</v>
      </c>
      <c r="F346">
        <v>7897</v>
      </c>
      <c r="G346" s="1">
        <v>45524</v>
      </c>
      <c r="I346">
        <v>20</v>
      </c>
      <c r="J346" t="s">
        <v>14</v>
      </c>
      <c r="K346" t="s">
        <v>19</v>
      </c>
    </row>
    <row r="347" spans="1:11" x14ac:dyDescent="0.3">
      <c r="A347">
        <v>694</v>
      </c>
      <c r="B347" t="s">
        <v>367</v>
      </c>
      <c r="C347">
        <v>61</v>
      </c>
      <c r="D347" t="s">
        <v>16</v>
      </c>
      <c r="E347" t="s">
        <v>21</v>
      </c>
      <c r="F347">
        <v>3742</v>
      </c>
      <c r="G347" s="1">
        <v>42964</v>
      </c>
      <c r="I347">
        <v>16</v>
      </c>
      <c r="J347" t="s">
        <v>14</v>
      </c>
      <c r="K347" t="s">
        <v>19</v>
      </c>
    </row>
    <row r="348" spans="1:11" x14ac:dyDescent="0.3">
      <c r="A348">
        <v>695</v>
      </c>
      <c r="B348" t="s">
        <v>368</v>
      </c>
      <c r="C348">
        <v>50</v>
      </c>
      <c r="D348" t="s">
        <v>12</v>
      </c>
      <c r="E348" t="s">
        <v>13</v>
      </c>
      <c r="F348">
        <v>4721</v>
      </c>
      <c r="G348" s="1">
        <v>45604</v>
      </c>
      <c r="H348">
        <v>5</v>
      </c>
      <c r="I348">
        <v>16</v>
      </c>
      <c r="J348" t="s">
        <v>18</v>
      </c>
      <c r="K348" t="s">
        <v>19</v>
      </c>
    </row>
    <row r="349" spans="1:11" x14ac:dyDescent="0.3">
      <c r="A349">
        <v>698</v>
      </c>
      <c r="B349" t="s">
        <v>369</v>
      </c>
      <c r="C349">
        <v>22</v>
      </c>
      <c r="D349" t="s">
        <v>26</v>
      </c>
      <c r="E349" t="s">
        <v>21</v>
      </c>
      <c r="F349">
        <v>4927</v>
      </c>
      <c r="G349" s="1">
        <v>42503</v>
      </c>
      <c r="H349">
        <v>5</v>
      </c>
      <c r="I349">
        <v>20</v>
      </c>
      <c r="J349" t="s">
        <v>18</v>
      </c>
      <c r="K349" t="s">
        <v>19</v>
      </c>
    </row>
    <row r="350" spans="1:11" x14ac:dyDescent="0.3">
      <c r="A350">
        <v>699</v>
      </c>
      <c r="B350" t="s">
        <v>370</v>
      </c>
      <c r="C350">
        <v>48</v>
      </c>
      <c r="D350" t="s">
        <v>16</v>
      </c>
      <c r="E350" t="s">
        <v>17</v>
      </c>
      <c r="F350">
        <v>2106</v>
      </c>
      <c r="G350" s="1">
        <v>43889</v>
      </c>
      <c r="H350">
        <v>2</v>
      </c>
      <c r="I350">
        <v>3</v>
      </c>
      <c r="J350" t="s">
        <v>23</v>
      </c>
      <c r="K350" t="s">
        <v>15</v>
      </c>
    </row>
    <row r="351" spans="1:11" x14ac:dyDescent="0.3">
      <c r="A351">
        <v>700</v>
      </c>
      <c r="B351" t="s">
        <v>371</v>
      </c>
      <c r="C351">
        <v>39</v>
      </c>
      <c r="D351" t="s">
        <v>12</v>
      </c>
      <c r="E351" t="s">
        <v>21</v>
      </c>
      <c r="F351">
        <v>7614</v>
      </c>
      <c r="G351" s="1">
        <v>44277</v>
      </c>
      <c r="I351">
        <v>10</v>
      </c>
      <c r="J351" t="s">
        <v>14</v>
      </c>
      <c r="K351" t="s">
        <v>19</v>
      </c>
    </row>
    <row r="352" spans="1:11" x14ac:dyDescent="0.3">
      <c r="A352">
        <v>702</v>
      </c>
      <c r="B352" t="s">
        <v>372</v>
      </c>
      <c r="C352">
        <v>43</v>
      </c>
      <c r="D352" t="s">
        <v>12</v>
      </c>
      <c r="E352" t="s">
        <v>21</v>
      </c>
      <c r="F352">
        <v>4925</v>
      </c>
      <c r="G352" s="1">
        <v>42515</v>
      </c>
      <c r="I352">
        <v>3</v>
      </c>
      <c r="J352" t="s">
        <v>14</v>
      </c>
      <c r="K352" t="s">
        <v>19</v>
      </c>
    </row>
    <row r="353" spans="1:11" x14ac:dyDescent="0.3">
      <c r="A353">
        <v>704</v>
      </c>
      <c r="B353" t="s">
        <v>373</v>
      </c>
      <c r="C353">
        <v>42</v>
      </c>
      <c r="D353" t="s">
        <v>16</v>
      </c>
      <c r="E353" t="s">
        <v>21</v>
      </c>
      <c r="F353">
        <v>9621</v>
      </c>
      <c r="G353" s="1">
        <v>43422</v>
      </c>
      <c r="H353">
        <v>2</v>
      </c>
      <c r="I353">
        <v>16</v>
      </c>
      <c r="J353" t="s">
        <v>18</v>
      </c>
      <c r="K353" t="s">
        <v>15</v>
      </c>
    </row>
    <row r="354" spans="1:11" x14ac:dyDescent="0.3">
      <c r="A354">
        <v>706</v>
      </c>
      <c r="B354" t="s">
        <v>374</v>
      </c>
      <c r="C354">
        <v>28</v>
      </c>
      <c r="D354" t="s">
        <v>12</v>
      </c>
      <c r="E354" t="s">
        <v>17</v>
      </c>
      <c r="F354">
        <v>7873</v>
      </c>
      <c r="G354" s="1">
        <v>44814</v>
      </c>
      <c r="H354">
        <v>3</v>
      </c>
      <c r="I354">
        <v>2</v>
      </c>
      <c r="J354" t="s">
        <v>23</v>
      </c>
      <c r="K354" t="s">
        <v>15</v>
      </c>
    </row>
    <row r="355" spans="1:11" x14ac:dyDescent="0.3">
      <c r="A355">
        <v>709</v>
      </c>
      <c r="B355" t="s">
        <v>375</v>
      </c>
      <c r="C355">
        <v>23</v>
      </c>
      <c r="D355" t="s">
        <v>26</v>
      </c>
      <c r="E355" t="s">
        <v>13</v>
      </c>
      <c r="F355">
        <v>5648</v>
      </c>
      <c r="G355" s="1">
        <v>44017</v>
      </c>
      <c r="I355">
        <v>19</v>
      </c>
      <c r="J355" t="s">
        <v>14</v>
      </c>
      <c r="K355" t="s">
        <v>20</v>
      </c>
    </row>
    <row r="356" spans="1:11" x14ac:dyDescent="0.3">
      <c r="A356">
        <v>710</v>
      </c>
      <c r="B356" t="s">
        <v>376</v>
      </c>
      <c r="C356">
        <v>54</v>
      </c>
      <c r="D356" t="s">
        <v>12</v>
      </c>
      <c r="E356" t="s">
        <v>21</v>
      </c>
      <c r="F356">
        <v>9592</v>
      </c>
      <c r="G356" s="1">
        <v>43985</v>
      </c>
      <c r="I356">
        <v>1</v>
      </c>
      <c r="J356" t="s">
        <v>14</v>
      </c>
      <c r="K356" t="s">
        <v>15</v>
      </c>
    </row>
    <row r="357" spans="1:11" x14ac:dyDescent="0.3">
      <c r="A357">
        <v>713</v>
      </c>
      <c r="B357" t="s">
        <v>377</v>
      </c>
      <c r="C357">
        <v>47</v>
      </c>
      <c r="D357" t="s">
        <v>26</v>
      </c>
      <c r="E357" t="s">
        <v>13</v>
      </c>
      <c r="F357">
        <v>7123</v>
      </c>
      <c r="G357" s="1">
        <v>43559</v>
      </c>
      <c r="I357">
        <v>11</v>
      </c>
      <c r="J357" t="s">
        <v>14</v>
      </c>
      <c r="K357" t="s">
        <v>15</v>
      </c>
    </row>
    <row r="358" spans="1:11" x14ac:dyDescent="0.3">
      <c r="A358">
        <v>720</v>
      </c>
      <c r="B358" t="s">
        <v>378</v>
      </c>
      <c r="C358">
        <v>60</v>
      </c>
      <c r="D358" t="s">
        <v>16</v>
      </c>
      <c r="E358" t="s">
        <v>21</v>
      </c>
      <c r="F358">
        <v>5107</v>
      </c>
      <c r="G358" s="1">
        <v>43066</v>
      </c>
      <c r="H358">
        <v>5</v>
      </c>
      <c r="I358">
        <v>4</v>
      </c>
      <c r="J358" t="s">
        <v>23</v>
      </c>
      <c r="K358" t="s">
        <v>15</v>
      </c>
    </row>
    <row r="359" spans="1:11" x14ac:dyDescent="0.3">
      <c r="A359">
        <v>722</v>
      </c>
      <c r="B359" t="s">
        <v>379</v>
      </c>
      <c r="C359">
        <v>60</v>
      </c>
      <c r="D359" t="s">
        <v>16</v>
      </c>
      <c r="E359" t="s">
        <v>21</v>
      </c>
      <c r="F359">
        <v>2131</v>
      </c>
      <c r="G359" s="1">
        <v>42172</v>
      </c>
      <c r="H359">
        <v>4</v>
      </c>
      <c r="I359">
        <v>19</v>
      </c>
      <c r="J359" t="s">
        <v>14</v>
      </c>
      <c r="K359" t="s">
        <v>19</v>
      </c>
    </row>
    <row r="360" spans="1:11" x14ac:dyDescent="0.3">
      <c r="A360">
        <v>723</v>
      </c>
      <c r="B360" t="s">
        <v>380</v>
      </c>
      <c r="C360">
        <v>57</v>
      </c>
      <c r="D360" t="s">
        <v>26</v>
      </c>
      <c r="E360" t="s">
        <v>13</v>
      </c>
      <c r="F360">
        <v>6974</v>
      </c>
      <c r="G360" s="1">
        <v>45517</v>
      </c>
      <c r="H360">
        <v>4</v>
      </c>
      <c r="I360">
        <v>6</v>
      </c>
      <c r="J360" t="s">
        <v>18</v>
      </c>
      <c r="K360" t="s">
        <v>19</v>
      </c>
    </row>
    <row r="361" spans="1:11" x14ac:dyDescent="0.3">
      <c r="A361">
        <v>725</v>
      </c>
      <c r="B361" t="s">
        <v>381</v>
      </c>
      <c r="C361">
        <v>36</v>
      </c>
      <c r="D361" t="s">
        <v>12</v>
      </c>
      <c r="E361" t="s">
        <v>21</v>
      </c>
      <c r="F361">
        <v>4936</v>
      </c>
      <c r="G361" s="1">
        <v>44664</v>
      </c>
      <c r="I361">
        <v>12</v>
      </c>
      <c r="J361" t="s">
        <v>23</v>
      </c>
      <c r="K361" t="s">
        <v>19</v>
      </c>
    </row>
    <row r="362" spans="1:11" x14ac:dyDescent="0.3">
      <c r="A362">
        <v>727</v>
      </c>
      <c r="B362" t="s">
        <v>382</v>
      </c>
      <c r="C362">
        <v>36</v>
      </c>
      <c r="D362" t="s">
        <v>26</v>
      </c>
      <c r="E362" t="s">
        <v>17</v>
      </c>
      <c r="F362">
        <v>2321</v>
      </c>
      <c r="G362" s="1">
        <v>45271</v>
      </c>
      <c r="I362">
        <v>1</v>
      </c>
      <c r="J362" t="s">
        <v>23</v>
      </c>
      <c r="K362" t="s">
        <v>19</v>
      </c>
    </row>
    <row r="363" spans="1:11" x14ac:dyDescent="0.3">
      <c r="A363">
        <v>728</v>
      </c>
      <c r="B363" t="s">
        <v>383</v>
      </c>
      <c r="C363">
        <v>60</v>
      </c>
      <c r="D363" t="s">
        <v>26</v>
      </c>
      <c r="E363" t="s">
        <v>13</v>
      </c>
      <c r="F363">
        <v>5312</v>
      </c>
      <c r="G363" s="1">
        <v>44468</v>
      </c>
      <c r="I363">
        <v>8</v>
      </c>
      <c r="J363" t="s">
        <v>18</v>
      </c>
      <c r="K363" t="s">
        <v>15</v>
      </c>
    </row>
    <row r="364" spans="1:11" x14ac:dyDescent="0.3">
      <c r="A364">
        <v>731</v>
      </c>
      <c r="B364" t="s">
        <v>384</v>
      </c>
      <c r="C364">
        <v>40</v>
      </c>
      <c r="D364" t="s">
        <v>12</v>
      </c>
      <c r="E364" t="s">
        <v>21</v>
      </c>
      <c r="F364">
        <v>6352</v>
      </c>
      <c r="G364" s="1">
        <v>43985</v>
      </c>
      <c r="H364">
        <v>2</v>
      </c>
      <c r="I364">
        <v>4</v>
      </c>
      <c r="J364" t="s">
        <v>18</v>
      </c>
      <c r="K364" t="s">
        <v>20</v>
      </c>
    </row>
    <row r="365" spans="1:11" x14ac:dyDescent="0.3">
      <c r="A365">
        <v>732</v>
      </c>
      <c r="B365" t="s">
        <v>385</v>
      </c>
      <c r="C365">
        <v>36</v>
      </c>
      <c r="D365" t="s">
        <v>26</v>
      </c>
      <c r="E365" t="s">
        <v>13</v>
      </c>
      <c r="F365">
        <v>7378</v>
      </c>
      <c r="G365" s="1">
        <v>42669</v>
      </c>
      <c r="I365">
        <v>2</v>
      </c>
      <c r="J365" t="s">
        <v>23</v>
      </c>
      <c r="K365" t="s">
        <v>20</v>
      </c>
    </row>
    <row r="366" spans="1:11" x14ac:dyDescent="0.3">
      <c r="A366">
        <v>734</v>
      </c>
      <c r="B366" t="s">
        <v>386</v>
      </c>
      <c r="C366">
        <v>44</v>
      </c>
      <c r="D366" t="s">
        <v>26</v>
      </c>
      <c r="E366" t="s">
        <v>13</v>
      </c>
      <c r="F366">
        <v>5551</v>
      </c>
      <c r="G366" s="1">
        <v>44452</v>
      </c>
      <c r="H366">
        <v>3</v>
      </c>
      <c r="I366">
        <v>17</v>
      </c>
      <c r="J366" t="s">
        <v>23</v>
      </c>
      <c r="K366" t="s">
        <v>15</v>
      </c>
    </row>
    <row r="367" spans="1:11" x14ac:dyDescent="0.3">
      <c r="A367">
        <v>735</v>
      </c>
      <c r="B367" t="s">
        <v>387</v>
      </c>
      <c r="C367">
        <v>44</v>
      </c>
      <c r="D367" t="s">
        <v>12</v>
      </c>
      <c r="E367" t="s">
        <v>17</v>
      </c>
      <c r="F367">
        <v>2683</v>
      </c>
      <c r="G367" s="1">
        <v>43373</v>
      </c>
      <c r="H367">
        <v>3</v>
      </c>
      <c r="I367">
        <v>3</v>
      </c>
      <c r="J367" t="s">
        <v>18</v>
      </c>
      <c r="K367" t="s">
        <v>20</v>
      </c>
    </row>
    <row r="368" spans="1:11" x14ac:dyDescent="0.3">
      <c r="A368">
        <v>740</v>
      </c>
      <c r="B368" t="s">
        <v>388</v>
      </c>
      <c r="C368">
        <v>44</v>
      </c>
      <c r="D368" t="s">
        <v>16</v>
      </c>
      <c r="E368" t="s">
        <v>21</v>
      </c>
      <c r="F368">
        <v>3062</v>
      </c>
      <c r="G368" s="1">
        <v>44224</v>
      </c>
      <c r="H368">
        <v>1</v>
      </c>
      <c r="I368">
        <v>3</v>
      </c>
      <c r="J368" t="s">
        <v>14</v>
      </c>
      <c r="K368" t="s">
        <v>15</v>
      </c>
    </row>
    <row r="369" spans="1:11" x14ac:dyDescent="0.3">
      <c r="A369">
        <v>741</v>
      </c>
      <c r="B369" t="s">
        <v>389</v>
      </c>
      <c r="C369">
        <v>41</v>
      </c>
      <c r="D369" t="s">
        <v>12</v>
      </c>
      <c r="E369" t="s">
        <v>17</v>
      </c>
      <c r="F369">
        <v>8189</v>
      </c>
      <c r="G369" s="1">
        <v>42655</v>
      </c>
      <c r="I369">
        <v>3</v>
      </c>
      <c r="J369" t="s">
        <v>23</v>
      </c>
      <c r="K369" t="s">
        <v>20</v>
      </c>
    </row>
    <row r="370" spans="1:11" x14ac:dyDescent="0.3">
      <c r="A370">
        <v>744</v>
      </c>
      <c r="B370" t="s">
        <v>390</v>
      </c>
      <c r="C370">
        <v>34</v>
      </c>
      <c r="D370" t="s">
        <v>12</v>
      </c>
      <c r="E370" t="s">
        <v>17</v>
      </c>
      <c r="F370">
        <v>2786</v>
      </c>
      <c r="G370" s="1">
        <v>42943</v>
      </c>
      <c r="H370">
        <v>1</v>
      </c>
      <c r="I370">
        <v>6</v>
      </c>
      <c r="J370" t="s">
        <v>18</v>
      </c>
      <c r="K370" t="s">
        <v>19</v>
      </c>
    </row>
    <row r="371" spans="1:11" x14ac:dyDescent="0.3">
      <c r="A371">
        <v>745</v>
      </c>
      <c r="B371" t="s">
        <v>391</v>
      </c>
      <c r="C371">
        <v>51</v>
      </c>
      <c r="D371" t="s">
        <v>16</v>
      </c>
      <c r="E371" t="s">
        <v>13</v>
      </c>
      <c r="F371">
        <v>2892</v>
      </c>
      <c r="G371" s="1">
        <v>42649</v>
      </c>
      <c r="I371">
        <v>8</v>
      </c>
      <c r="J371" t="s">
        <v>18</v>
      </c>
      <c r="K371" t="s">
        <v>15</v>
      </c>
    </row>
    <row r="372" spans="1:11" x14ac:dyDescent="0.3">
      <c r="A372">
        <v>748</v>
      </c>
      <c r="B372" t="s">
        <v>392</v>
      </c>
      <c r="C372">
        <v>58</v>
      </c>
      <c r="D372" t="s">
        <v>26</v>
      </c>
      <c r="E372" t="s">
        <v>17</v>
      </c>
      <c r="F372">
        <v>2451</v>
      </c>
      <c r="G372" s="1">
        <v>44157</v>
      </c>
      <c r="H372">
        <v>4</v>
      </c>
      <c r="I372">
        <v>2</v>
      </c>
      <c r="J372" t="s">
        <v>14</v>
      </c>
      <c r="K372" t="s">
        <v>15</v>
      </c>
    </row>
    <row r="373" spans="1:11" x14ac:dyDescent="0.3">
      <c r="A373">
        <v>750</v>
      </c>
      <c r="B373" t="s">
        <v>393</v>
      </c>
      <c r="C373">
        <v>36</v>
      </c>
      <c r="D373" t="s">
        <v>26</v>
      </c>
      <c r="E373" t="s">
        <v>21</v>
      </c>
      <c r="F373">
        <v>2162</v>
      </c>
      <c r="G373" s="1">
        <v>43607</v>
      </c>
      <c r="I373">
        <v>7</v>
      </c>
      <c r="J373" t="s">
        <v>14</v>
      </c>
      <c r="K373" t="s">
        <v>20</v>
      </c>
    </row>
    <row r="374" spans="1:11" x14ac:dyDescent="0.3">
      <c r="A374">
        <v>751</v>
      </c>
      <c r="B374" t="s">
        <v>394</v>
      </c>
      <c r="C374">
        <v>45</v>
      </c>
      <c r="D374" t="s">
        <v>26</v>
      </c>
      <c r="E374" t="s">
        <v>21</v>
      </c>
      <c r="F374">
        <v>2532</v>
      </c>
      <c r="G374" s="1">
        <v>44341</v>
      </c>
      <c r="H374">
        <v>3</v>
      </c>
      <c r="I374">
        <v>7</v>
      </c>
      <c r="J374" t="s">
        <v>14</v>
      </c>
      <c r="K374" t="s">
        <v>15</v>
      </c>
    </row>
    <row r="375" spans="1:11" x14ac:dyDescent="0.3">
      <c r="A375">
        <v>752</v>
      </c>
      <c r="B375" t="s">
        <v>395</v>
      </c>
      <c r="C375">
        <v>40</v>
      </c>
      <c r="D375" t="s">
        <v>16</v>
      </c>
      <c r="E375" t="s">
        <v>21</v>
      </c>
      <c r="F375">
        <v>8831</v>
      </c>
      <c r="G375" s="1">
        <v>44223</v>
      </c>
      <c r="H375">
        <v>5</v>
      </c>
      <c r="I375">
        <v>8</v>
      </c>
      <c r="J375" t="s">
        <v>14</v>
      </c>
      <c r="K375" t="s">
        <v>20</v>
      </c>
    </row>
    <row r="376" spans="1:11" x14ac:dyDescent="0.3">
      <c r="A376">
        <v>754</v>
      </c>
      <c r="B376" t="s">
        <v>396</v>
      </c>
      <c r="C376">
        <v>28</v>
      </c>
      <c r="D376" t="s">
        <v>12</v>
      </c>
      <c r="E376" t="s">
        <v>21</v>
      </c>
      <c r="F376">
        <v>9146</v>
      </c>
      <c r="G376" s="1">
        <v>44850</v>
      </c>
      <c r="H376">
        <v>5</v>
      </c>
      <c r="I376">
        <v>13</v>
      </c>
      <c r="J376" t="s">
        <v>23</v>
      </c>
      <c r="K376" t="s">
        <v>19</v>
      </c>
    </row>
    <row r="377" spans="1:11" x14ac:dyDescent="0.3">
      <c r="A377">
        <v>755</v>
      </c>
      <c r="B377" t="s">
        <v>397</v>
      </c>
      <c r="C377">
        <v>39</v>
      </c>
      <c r="D377" t="s">
        <v>26</v>
      </c>
      <c r="E377" t="s">
        <v>13</v>
      </c>
      <c r="F377">
        <v>8348</v>
      </c>
      <c r="G377" s="1">
        <v>45088</v>
      </c>
      <c r="I377">
        <v>19</v>
      </c>
      <c r="J377" t="s">
        <v>23</v>
      </c>
      <c r="K377" t="s">
        <v>20</v>
      </c>
    </row>
    <row r="378" spans="1:11" x14ac:dyDescent="0.3">
      <c r="A378">
        <v>756</v>
      </c>
      <c r="B378" t="s">
        <v>398</v>
      </c>
      <c r="C378">
        <v>28</v>
      </c>
      <c r="D378" t="s">
        <v>16</v>
      </c>
      <c r="E378" t="s">
        <v>17</v>
      </c>
      <c r="F378">
        <v>5009</v>
      </c>
      <c r="G378" s="1">
        <v>42961</v>
      </c>
      <c r="H378">
        <v>2</v>
      </c>
      <c r="I378">
        <v>1</v>
      </c>
      <c r="J378" t="s">
        <v>23</v>
      </c>
      <c r="K378" t="s">
        <v>19</v>
      </c>
    </row>
    <row r="379" spans="1:11" x14ac:dyDescent="0.3">
      <c r="A379">
        <v>757</v>
      </c>
      <c r="B379" t="s">
        <v>399</v>
      </c>
      <c r="C379">
        <v>38</v>
      </c>
      <c r="D379" t="s">
        <v>26</v>
      </c>
      <c r="E379" t="s">
        <v>17</v>
      </c>
      <c r="F379">
        <v>9666</v>
      </c>
      <c r="G379" s="1">
        <v>42474</v>
      </c>
      <c r="I379">
        <v>15</v>
      </c>
      <c r="J379" t="s">
        <v>18</v>
      </c>
      <c r="K379" t="s">
        <v>20</v>
      </c>
    </row>
    <row r="380" spans="1:11" x14ac:dyDescent="0.3">
      <c r="A380">
        <v>758</v>
      </c>
      <c r="B380" t="s">
        <v>400</v>
      </c>
      <c r="C380">
        <v>34</v>
      </c>
      <c r="D380" t="s">
        <v>16</v>
      </c>
      <c r="E380" t="s">
        <v>17</v>
      </c>
      <c r="F380">
        <v>3395</v>
      </c>
      <c r="G380" s="1">
        <v>42155</v>
      </c>
      <c r="H380">
        <v>3</v>
      </c>
      <c r="I380">
        <v>4</v>
      </c>
      <c r="J380" t="s">
        <v>18</v>
      </c>
      <c r="K380" t="s">
        <v>20</v>
      </c>
    </row>
    <row r="381" spans="1:11" x14ac:dyDescent="0.3">
      <c r="A381">
        <v>759</v>
      </c>
      <c r="B381" t="s">
        <v>401</v>
      </c>
      <c r="C381">
        <v>53</v>
      </c>
      <c r="D381" t="s">
        <v>26</v>
      </c>
      <c r="E381" t="s">
        <v>17</v>
      </c>
      <c r="F381">
        <v>9917</v>
      </c>
      <c r="G381" s="1">
        <v>42923</v>
      </c>
      <c r="H381">
        <v>1</v>
      </c>
      <c r="I381">
        <v>16</v>
      </c>
      <c r="J381" t="s">
        <v>18</v>
      </c>
      <c r="K381" t="s">
        <v>19</v>
      </c>
    </row>
    <row r="382" spans="1:11" x14ac:dyDescent="0.3">
      <c r="A382">
        <v>760</v>
      </c>
      <c r="B382" t="s">
        <v>402</v>
      </c>
      <c r="C382">
        <v>32</v>
      </c>
      <c r="D382" t="s">
        <v>16</v>
      </c>
      <c r="E382" t="s">
        <v>21</v>
      </c>
      <c r="F382">
        <v>9626</v>
      </c>
      <c r="G382" s="1">
        <v>43946</v>
      </c>
      <c r="I382">
        <v>16</v>
      </c>
      <c r="J382" t="s">
        <v>18</v>
      </c>
      <c r="K382" t="s">
        <v>15</v>
      </c>
    </row>
    <row r="383" spans="1:11" x14ac:dyDescent="0.3">
      <c r="A383">
        <v>763</v>
      </c>
      <c r="B383" t="s">
        <v>403</v>
      </c>
      <c r="C383">
        <v>51</v>
      </c>
      <c r="D383" t="s">
        <v>12</v>
      </c>
      <c r="E383" t="s">
        <v>21</v>
      </c>
      <c r="F383">
        <v>9654</v>
      </c>
      <c r="G383" s="1">
        <v>44666</v>
      </c>
      <c r="H383">
        <v>1</v>
      </c>
      <c r="I383">
        <v>11</v>
      </c>
      <c r="J383" t="s">
        <v>18</v>
      </c>
      <c r="K383" t="s">
        <v>15</v>
      </c>
    </row>
    <row r="384" spans="1:11" x14ac:dyDescent="0.3">
      <c r="A384">
        <v>767</v>
      </c>
      <c r="B384" t="s">
        <v>404</v>
      </c>
      <c r="C384">
        <v>62</v>
      </c>
      <c r="D384" t="s">
        <v>16</v>
      </c>
      <c r="E384" t="s">
        <v>21</v>
      </c>
      <c r="F384">
        <v>4483</v>
      </c>
      <c r="G384" s="1">
        <v>44348</v>
      </c>
      <c r="I384">
        <v>8</v>
      </c>
      <c r="J384" t="s">
        <v>18</v>
      </c>
      <c r="K384" t="s">
        <v>20</v>
      </c>
    </row>
    <row r="385" spans="1:11" x14ac:dyDescent="0.3">
      <c r="A385">
        <v>768</v>
      </c>
      <c r="B385" t="s">
        <v>405</v>
      </c>
      <c r="C385">
        <v>27</v>
      </c>
      <c r="D385" t="s">
        <v>12</v>
      </c>
      <c r="E385" t="s">
        <v>17</v>
      </c>
      <c r="F385">
        <v>6086</v>
      </c>
      <c r="G385" s="1">
        <v>42526</v>
      </c>
      <c r="H385">
        <v>2</v>
      </c>
      <c r="I385">
        <v>1</v>
      </c>
      <c r="J385" t="s">
        <v>23</v>
      </c>
      <c r="K385" t="s">
        <v>15</v>
      </c>
    </row>
    <row r="386" spans="1:11" x14ac:dyDescent="0.3">
      <c r="A386">
        <v>769</v>
      </c>
      <c r="B386" t="s">
        <v>406</v>
      </c>
      <c r="C386">
        <v>26</v>
      </c>
      <c r="D386" t="s">
        <v>16</v>
      </c>
      <c r="E386" t="s">
        <v>13</v>
      </c>
      <c r="F386">
        <v>6745</v>
      </c>
      <c r="G386" s="1">
        <v>45575</v>
      </c>
      <c r="I386">
        <v>16</v>
      </c>
      <c r="J386" t="s">
        <v>18</v>
      </c>
      <c r="K386" t="s">
        <v>19</v>
      </c>
    </row>
    <row r="387" spans="1:11" x14ac:dyDescent="0.3">
      <c r="A387">
        <v>770</v>
      </c>
      <c r="B387" t="s">
        <v>407</v>
      </c>
      <c r="C387">
        <v>19</v>
      </c>
      <c r="D387" t="s">
        <v>16</v>
      </c>
      <c r="E387" t="s">
        <v>13</v>
      </c>
      <c r="F387">
        <v>6166</v>
      </c>
      <c r="G387" s="1">
        <v>44116</v>
      </c>
      <c r="I387">
        <v>10</v>
      </c>
      <c r="J387" t="s">
        <v>14</v>
      </c>
      <c r="K387" t="s">
        <v>15</v>
      </c>
    </row>
    <row r="388" spans="1:11" x14ac:dyDescent="0.3">
      <c r="A388">
        <v>771</v>
      </c>
      <c r="B388" t="s">
        <v>408</v>
      </c>
      <c r="C388">
        <v>64</v>
      </c>
      <c r="D388" t="s">
        <v>12</v>
      </c>
      <c r="E388" t="s">
        <v>17</v>
      </c>
      <c r="F388">
        <v>7841</v>
      </c>
      <c r="G388" s="1">
        <v>42976</v>
      </c>
      <c r="H388">
        <v>3</v>
      </c>
      <c r="I388">
        <v>14</v>
      </c>
      <c r="J388" t="s">
        <v>23</v>
      </c>
      <c r="K388" t="s">
        <v>15</v>
      </c>
    </row>
    <row r="389" spans="1:11" x14ac:dyDescent="0.3">
      <c r="A389">
        <v>773</v>
      </c>
      <c r="B389" t="s">
        <v>409</v>
      </c>
      <c r="C389">
        <v>45</v>
      </c>
      <c r="D389" t="s">
        <v>16</v>
      </c>
      <c r="E389" t="s">
        <v>21</v>
      </c>
      <c r="F389">
        <v>8462</v>
      </c>
      <c r="G389" s="1">
        <v>43536</v>
      </c>
      <c r="H389">
        <v>3</v>
      </c>
      <c r="I389">
        <v>2</v>
      </c>
      <c r="J389" t="s">
        <v>18</v>
      </c>
      <c r="K389" t="s">
        <v>19</v>
      </c>
    </row>
    <row r="390" spans="1:11" x14ac:dyDescent="0.3">
      <c r="A390">
        <v>774</v>
      </c>
      <c r="B390" t="s">
        <v>410</v>
      </c>
      <c r="C390">
        <v>30</v>
      </c>
      <c r="D390" t="s">
        <v>16</v>
      </c>
      <c r="E390" t="s">
        <v>21</v>
      </c>
      <c r="F390">
        <v>9314</v>
      </c>
      <c r="G390" s="1">
        <v>42682</v>
      </c>
      <c r="I390">
        <v>4</v>
      </c>
      <c r="J390" t="s">
        <v>18</v>
      </c>
      <c r="K390" t="s">
        <v>20</v>
      </c>
    </row>
    <row r="391" spans="1:11" x14ac:dyDescent="0.3">
      <c r="A391">
        <v>776</v>
      </c>
      <c r="B391" t="s">
        <v>411</v>
      </c>
      <c r="C391">
        <v>53</v>
      </c>
      <c r="D391" t="s">
        <v>26</v>
      </c>
      <c r="E391" t="s">
        <v>13</v>
      </c>
      <c r="F391">
        <v>7659</v>
      </c>
      <c r="G391" s="1">
        <v>44076</v>
      </c>
      <c r="H391">
        <v>3</v>
      </c>
      <c r="I391">
        <v>16</v>
      </c>
      <c r="J391" t="s">
        <v>18</v>
      </c>
      <c r="K391" t="s">
        <v>19</v>
      </c>
    </row>
    <row r="392" spans="1:11" x14ac:dyDescent="0.3">
      <c r="A392">
        <v>781</v>
      </c>
      <c r="B392" t="s">
        <v>412</v>
      </c>
      <c r="C392">
        <v>44</v>
      </c>
      <c r="D392" t="s">
        <v>26</v>
      </c>
      <c r="E392" t="s">
        <v>21</v>
      </c>
      <c r="F392">
        <v>6141</v>
      </c>
      <c r="G392" s="1">
        <v>42870</v>
      </c>
      <c r="H392">
        <v>3</v>
      </c>
      <c r="I392">
        <v>1</v>
      </c>
      <c r="J392" t="s">
        <v>18</v>
      </c>
      <c r="K392" t="s">
        <v>19</v>
      </c>
    </row>
    <row r="393" spans="1:11" x14ac:dyDescent="0.3">
      <c r="A393">
        <v>782</v>
      </c>
      <c r="B393" t="s">
        <v>413</v>
      </c>
      <c r="C393">
        <v>18</v>
      </c>
      <c r="D393" t="s">
        <v>26</v>
      </c>
      <c r="E393" t="s">
        <v>13</v>
      </c>
      <c r="F393">
        <v>2973</v>
      </c>
      <c r="G393" s="1">
        <v>43614</v>
      </c>
      <c r="I393">
        <v>4</v>
      </c>
      <c r="J393" t="s">
        <v>23</v>
      </c>
      <c r="K393" t="s">
        <v>20</v>
      </c>
    </row>
    <row r="394" spans="1:11" x14ac:dyDescent="0.3">
      <c r="A394">
        <v>784</v>
      </c>
      <c r="B394" t="s">
        <v>414</v>
      </c>
      <c r="C394">
        <v>46</v>
      </c>
      <c r="D394" t="s">
        <v>26</v>
      </c>
      <c r="E394" t="s">
        <v>21</v>
      </c>
      <c r="F394">
        <v>5031</v>
      </c>
      <c r="G394" s="1">
        <v>43267</v>
      </c>
      <c r="I394">
        <v>7</v>
      </c>
      <c r="J394" t="s">
        <v>14</v>
      </c>
      <c r="K394" t="s">
        <v>20</v>
      </c>
    </row>
    <row r="395" spans="1:11" x14ac:dyDescent="0.3">
      <c r="A395">
        <v>785</v>
      </c>
      <c r="B395" t="s">
        <v>415</v>
      </c>
      <c r="C395">
        <v>49</v>
      </c>
      <c r="D395" t="s">
        <v>26</v>
      </c>
      <c r="E395" t="s">
        <v>13</v>
      </c>
      <c r="F395">
        <v>4679</v>
      </c>
      <c r="G395" s="1">
        <v>44892</v>
      </c>
      <c r="I395">
        <v>15</v>
      </c>
      <c r="J395" t="s">
        <v>23</v>
      </c>
      <c r="K395" t="s">
        <v>20</v>
      </c>
    </row>
    <row r="396" spans="1:11" x14ac:dyDescent="0.3">
      <c r="A396">
        <v>786</v>
      </c>
      <c r="B396" t="s">
        <v>416</v>
      </c>
      <c r="C396">
        <v>20</v>
      </c>
      <c r="D396" t="s">
        <v>16</v>
      </c>
      <c r="E396" t="s">
        <v>17</v>
      </c>
      <c r="F396">
        <v>3265</v>
      </c>
      <c r="G396" s="1">
        <v>44911</v>
      </c>
      <c r="H396">
        <v>5</v>
      </c>
      <c r="I396">
        <v>7</v>
      </c>
      <c r="J396" t="s">
        <v>18</v>
      </c>
      <c r="K396" t="s">
        <v>19</v>
      </c>
    </row>
    <row r="397" spans="1:11" x14ac:dyDescent="0.3">
      <c r="A397">
        <v>789</v>
      </c>
      <c r="B397" t="s">
        <v>417</v>
      </c>
      <c r="C397">
        <v>27</v>
      </c>
      <c r="D397" t="s">
        <v>16</v>
      </c>
      <c r="E397" t="s">
        <v>17</v>
      </c>
      <c r="F397">
        <v>3153</v>
      </c>
      <c r="G397" s="1">
        <v>44169</v>
      </c>
      <c r="H397">
        <v>2</v>
      </c>
      <c r="I397">
        <v>5</v>
      </c>
      <c r="J397" t="s">
        <v>14</v>
      </c>
      <c r="K397" t="s">
        <v>20</v>
      </c>
    </row>
    <row r="398" spans="1:11" x14ac:dyDescent="0.3">
      <c r="A398">
        <v>791</v>
      </c>
      <c r="B398" t="s">
        <v>418</v>
      </c>
      <c r="C398">
        <v>59</v>
      </c>
      <c r="D398" t="s">
        <v>16</v>
      </c>
      <c r="E398" t="s">
        <v>21</v>
      </c>
      <c r="F398">
        <v>9265</v>
      </c>
      <c r="G398" s="1">
        <v>44303</v>
      </c>
      <c r="H398">
        <v>1</v>
      </c>
      <c r="I398">
        <v>3</v>
      </c>
      <c r="J398" t="s">
        <v>18</v>
      </c>
      <c r="K398" t="s">
        <v>19</v>
      </c>
    </row>
    <row r="399" spans="1:11" x14ac:dyDescent="0.3">
      <c r="A399">
        <v>793</v>
      </c>
      <c r="B399" t="s">
        <v>419</v>
      </c>
      <c r="C399">
        <v>28</v>
      </c>
      <c r="D399" t="s">
        <v>12</v>
      </c>
      <c r="E399" t="s">
        <v>21</v>
      </c>
      <c r="F399">
        <v>9518</v>
      </c>
      <c r="G399" s="1">
        <v>45570</v>
      </c>
      <c r="I399">
        <v>9</v>
      </c>
      <c r="J399" t="s">
        <v>18</v>
      </c>
      <c r="K399" t="s">
        <v>15</v>
      </c>
    </row>
    <row r="400" spans="1:11" x14ac:dyDescent="0.3">
      <c r="A400">
        <v>794</v>
      </c>
      <c r="B400" t="s">
        <v>420</v>
      </c>
      <c r="C400">
        <v>30</v>
      </c>
      <c r="D400" t="s">
        <v>12</v>
      </c>
      <c r="E400" t="s">
        <v>13</v>
      </c>
      <c r="F400">
        <v>2912</v>
      </c>
      <c r="G400" s="1">
        <v>43455</v>
      </c>
      <c r="I400">
        <v>11</v>
      </c>
      <c r="J400" t="s">
        <v>14</v>
      </c>
      <c r="K400" t="s">
        <v>20</v>
      </c>
    </row>
    <row r="401" spans="1:11" x14ac:dyDescent="0.3">
      <c r="A401">
        <v>797</v>
      </c>
      <c r="B401" t="s">
        <v>421</v>
      </c>
      <c r="C401">
        <v>35</v>
      </c>
      <c r="D401" t="s">
        <v>16</v>
      </c>
      <c r="E401" t="s">
        <v>17</v>
      </c>
      <c r="F401">
        <v>9926</v>
      </c>
      <c r="G401" s="1">
        <v>42617</v>
      </c>
      <c r="I401">
        <v>7</v>
      </c>
      <c r="J401" t="s">
        <v>23</v>
      </c>
      <c r="K401" t="s">
        <v>15</v>
      </c>
    </row>
    <row r="402" spans="1:11" x14ac:dyDescent="0.3">
      <c r="A402">
        <v>798</v>
      </c>
      <c r="B402" t="s">
        <v>422</v>
      </c>
      <c r="C402">
        <v>44</v>
      </c>
      <c r="D402" t="s">
        <v>16</v>
      </c>
      <c r="E402" t="s">
        <v>13</v>
      </c>
      <c r="F402">
        <v>4713</v>
      </c>
      <c r="G402" s="1">
        <v>43017</v>
      </c>
      <c r="H402">
        <v>5</v>
      </c>
      <c r="I402">
        <v>2</v>
      </c>
      <c r="J402" t="s">
        <v>14</v>
      </c>
      <c r="K402" t="s">
        <v>20</v>
      </c>
    </row>
    <row r="403" spans="1:11" x14ac:dyDescent="0.3">
      <c r="A403">
        <v>799</v>
      </c>
      <c r="B403" t="s">
        <v>423</v>
      </c>
      <c r="C403">
        <v>49</v>
      </c>
      <c r="D403" t="s">
        <v>12</v>
      </c>
      <c r="E403" t="s">
        <v>21</v>
      </c>
      <c r="F403">
        <v>5690</v>
      </c>
      <c r="G403" s="1">
        <v>42409</v>
      </c>
      <c r="I403">
        <v>20</v>
      </c>
      <c r="J403" t="s">
        <v>14</v>
      </c>
      <c r="K403" t="s">
        <v>20</v>
      </c>
    </row>
    <row r="404" spans="1:11" x14ac:dyDescent="0.3">
      <c r="A404">
        <v>800</v>
      </c>
      <c r="B404" t="s">
        <v>424</v>
      </c>
      <c r="C404">
        <v>52</v>
      </c>
      <c r="D404" t="s">
        <v>12</v>
      </c>
      <c r="E404" t="s">
        <v>13</v>
      </c>
      <c r="F404">
        <v>7496</v>
      </c>
      <c r="G404" s="1">
        <v>43612</v>
      </c>
      <c r="H404">
        <v>3</v>
      </c>
      <c r="I404">
        <v>6</v>
      </c>
      <c r="J404" t="s">
        <v>18</v>
      </c>
      <c r="K404" t="s">
        <v>15</v>
      </c>
    </row>
    <row r="405" spans="1:11" x14ac:dyDescent="0.3">
      <c r="A405">
        <v>802</v>
      </c>
      <c r="B405" t="s">
        <v>425</v>
      </c>
      <c r="C405">
        <v>52</v>
      </c>
      <c r="D405" t="s">
        <v>26</v>
      </c>
      <c r="E405" t="s">
        <v>17</v>
      </c>
      <c r="F405">
        <v>4721</v>
      </c>
      <c r="G405" s="1">
        <v>45299</v>
      </c>
      <c r="H405">
        <v>3</v>
      </c>
      <c r="I405">
        <v>7</v>
      </c>
      <c r="J405" t="s">
        <v>23</v>
      </c>
      <c r="K405" t="s">
        <v>15</v>
      </c>
    </row>
    <row r="406" spans="1:11" x14ac:dyDescent="0.3">
      <c r="A406">
        <v>803</v>
      </c>
      <c r="B406" t="s">
        <v>426</v>
      </c>
      <c r="C406">
        <v>27</v>
      </c>
      <c r="D406" t="s">
        <v>26</v>
      </c>
      <c r="E406" t="s">
        <v>13</v>
      </c>
      <c r="F406">
        <v>6247</v>
      </c>
      <c r="G406" s="1">
        <v>45371</v>
      </c>
      <c r="H406">
        <v>2</v>
      </c>
      <c r="I406">
        <v>9</v>
      </c>
      <c r="J406" t="s">
        <v>18</v>
      </c>
      <c r="K406" t="s">
        <v>20</v>
      </c>
    </row>
    <row r="407" spans="1:11" x14ac:dyDescent="0.3">
      <c r="A407">
        <v>808</v>
      </c>
      <c r="B407" t="s">
        <v>427</v>
      </c>
      <c r="C407">
        <v>58</v>
      </c>
      <c r="D407" t="s">
        <v>12</v>
      </c>
      <c r="E407" t="s">
        <v>13</v>
      </c>
      <c r="F407">
        <v>3241</v>
      </c>
      <c r="G407" s="1">
        <v>45185</v>
      </c>
      <c r="H407">
        <v>2</v>
      </c>
      <c r="I407">
        <v>6</v>
      </c>
      <c r="J407" t="s">
        <v>23</v>
      </c>
      <c r="K407" t="s">
        <v>19</v>
      </c>
    </row>
    <row r="408" spans="1:11" x14ac:dyDescent="0.3">
      <c r="A408">
        <v>809</v>
      </c>
      <c r="B408" t="s">
        <v>428</v>
      </c>
      <c r="C408">
        <v>44</v>
      </c>
      <c r="D408" t="s">
        <v>26</v>
      </c>
      <c r="E408" t="s">
        <v>21</v>
      </c>
      <c r="F408">
        <v>9092</v>
      </c>
      <c r="G408" s="1">
        <v>43262</v>
      </c>
      <c r="H408">
        <v>2</v>
      </c>
      <c r="I408">
        <v>20</v>
      </c>
      <c r="J408" t="s">
        <v>23</v>
      </c>
      <c r="K408" t="s">
        <v>20</v>
      </c>
    </row>
    <row r="409" spans="1:11" x14ac:dyDescent="0.3">
      <c r="A409">
        <v>810</v>
      </c>
      <c r="B409" t="s">
        <v>429</v>
      </c>
      <c r="C409">
        <v>60</v>
      </c>
      <c r="D409" t="s">
        <v>12</v>
      </c>
      <c r="E409" t="s">
        <v>13</v>
      </c>
      <c r="F409">
        <v>3710</v>
      </c>
      <c r="G409" s="1">
        <v>45119</v>
      </c>
      <c r="I409">
        <v>19</v>
      </c>
      <c r="J409" t="s">
        <v>18</v>
      </c>
      <c r="K409" t="s">
        <v>19</v>
      </c>
    </row>
    <row r="410" spans="1:11" x14ac:dyDescent="0.3">
      <c r="A410">
        <v>812</v>
      </c>
      <c r="B410" t="s">
        <v>430</v>
      </c>
      <c r="C410">
        <v>52</v>
      </c>
      <c r="D410" t="s">
        <v>26</v>
      </c>
      <c r="E410" t="s">
        <v>13</v>
      </c>
      <c r="F410">
        <v>9993</v>
      </c>
      <c r="G410" s="1">
        <v>44162</v>
      </c>
      <c r="I410">
        <v>12</v>
      </c>
      <c r="J410" t="s">
        <v>23</v>
      </c>
      <c r="K410" t="s">
        <v>19</v>
      </c>
    </row>
    <row r="411" spans="1:11" x14ac:dyDescent="0.3">
      <c r="A411">
        <v>813</v>
      </c>
      <c r="B411" t="s">
        <v>431</v>
      </c>
      <c r="C411">
        <v>65</v>
      </c>
      <c r="D411" t="s">
        <v>12</v>
      </c>
      <c r="E411" t="s">
        <v>13</v>
      </c>
      <c r="F411">
        <v>4716</v>
      </c>
      <c r="G411" s="1">
        <v>42789</v>
      </c>
      <c r="H411">
        <v>5</v>
      </c>
      <c r="I411">
        <v>17</v>
      </c>
      <c r="J411" t="s">
        <v>18</v>
      </c>
      <c r="K411" t="s">
        <v>19</v>
      </c>
    </row>
    <row r="412" spans="1:11" x14ac:dyDescent="0.3">
      <c r="A412">
        <v>814</v>
      </c>
      <c r="B412" t="s">
        <v>432</v>
      </c>
      <c r="C412">
        <v>27</v>
      </c>
      <c r="D412" t="s">
        <v>12</v>
      </c>
      <c r="E412" t="s">
        <v>17</v>
      </c>
      <c r="F412">
        <v>7359</v>
      </c>
      <c r="G412" s="1">
        <v>43349</v>
      </c>
      <c r="I412">
        <v>7</v>
      </c>
      <c r="J412" t="s">
        <v>14</v>
      </c>
      <c r="K412" t="s">
        <v>15</v>
      </c>
    </row>
    <row r="413" spans="1:11" x14ac:dyDescent="0.3">
      <c r="A413">
        <v>815</v>
      </c>
      <c r="B413" t="s">
        <v>433</v>
      </c>
      <c r="C413">
        <v>31</v>
      </c>
      <c r="D413" t="s">
        <v>12</v>
      </c>
      <c r="E413" t="s">
        <v>21</v>
      </c>
      <c r="F413">
        <v>3565</v>
      </c>
      <c r="G413" s="1">
        <v>44530</v>
      </c>
      <c r="H413">
        <v>5</v>
      </c>
      <c r="I413">
        <v>4</v>
      </c>
      <c r="J413" t="s">
        <v>14</v>
      </c>
      <c r="K413" t="s">
        <v>15</v>
      </c>
    </row>
    <row r="414" spans="1:11" x14ac:dyDescent="0.3">
      <c r="A414">
        <v>816</v>
      </c>
      <c r="B414" t="s">
        <v>434</v>
      </c>
      <c r="C414">
        <v>31</v>
      </c>
      <c r="D414" t="s">
        <v>16</v>
      </c>
      <c r="E414" t="s">
        <v>13</v>
      </c>
      <c r="F414">
        <v>6825</v>
      </c>
      <c r="G414" s="1">
        <v>45081</v>
      </c>
      <c r="H414">
        <v>2</v>
      </c>
      <c r="I414">
        <v>12</v>
      </c>
      <c r="J414" t="s">
        <v>14</v>
      </c>
      <c r="K414" t="s">
        <v>20</v>
      </c>
    </row>
    <row r="415" spans="1:11" x14ac:dyDescent="0.3">
      <c r="A415">
        <v>820</v>
      </c>
      <c r="B415" t="s">
        <v>435</v>
      </c>
      <c r="C415">
        <v>54</v>
      </c>
      <c r="D415" t="s">
        <v>12</v>
      </c>
      <c r="E415" t="s">
        <v>17</v>
      </c>
      <c r="F415">
        <v>7880</v>
      </c>
      <c r="G415" s="1">
        <v>45554</v>
      </c>
      <c r="H415">
        <v>3</v>
      </c>
      <c r="I415">
        <v>6</v>
      </c>
      <c r="J415" t="s">
        <v>14</v>
      </c>
      <c r="K415" t="s">
        <v>15</v>
      </c>
    </row>
    <row r="416" spans="1:11" x14ac:dyDescent="0.3">
      <c r="A416">
        <v>822</v>
      </c>
      <c r="B416" t="s">
        <v>436</v>
      </c>
      <c r="C416">
        <v>26</v>
      </c>
      <c r="D416" t="s">
        <v>16</v>
      </c>
      <c r="E416" t="s">
        <v>13</v>
      </c>
      <c r="F416">
        <v>6872</v>
      </c>
      <c r="G416" s="1">
        <v>42977</v>
      </c>
      <c r="I416">
        <v>15</v>
      </c>
      <c r="J416" t="s">
        <v>23</v>
      </c>
      <c r="K416" t="s">
        <v>15</v>
      </c>
    </row>
    <row r="417" spans="1:11" x14ac:dyDescent="0.3">
      <c r="A417">
        <v>825</v>
      </c>
      <c r="B417" t="s">
        <v>437</v>
      </c>
      <c r="C417">
        <v>65</v>
      </c>
      <c r="D417" t="s">
        <v>12</v>
      </c>
      <c r="E417" t="s">
        <v>21</v>
      </c>
      <c r="F417">
        <v>3535</v>
      </c>
      <c r="G417" s="1">
        <v>43959</v>
      </c>
      <c r="I417">
        <v>19</v>
      </c>
      <c r="J417" t="s">
        <v>14</v>
      </c>
      <c r="K417" t="s">
        <v>20</v>
      </c>
    </row>
    <row r="418" spans="1:11" x14ac:dyDescent="0.3">
      <c r="A418">
        <v>833</v>
      </c>
      <c r="B418" t="s">
        <v>438</v>
      </c>
      <c r="C418">
        <v>54</v>
      </c>
      <c r="D418" t="s">
        <v>12</v>
      </c>
      <c r="E418" t="s">
        <v>17</v>
      </c>
      <c r="F418">
        <v>4232</v>
      </c>
      <c r="G418" s="1">
        <v>42188</v>
      </c>
      <c r="H418">
        <v>5</v>
      </c>
      <c r="I418">
        <v>3</v>
      </c>
      <c r="J418" t="s">
        <v>23</v>
      </c>
      <c r="K418" t="s">
        <v>20</v>
      </c>
    </row>
    <row r="419" spans="1:11" x14ac:dyDescent="0.3">
      <c r="A419">
        <v>834</v>
      </c>
      <c r="B419" t="s">
        <v>439</v>
      </c>
      <c r="C419">
        <v>63</v>
      </c>
      <c r="D419" t="s">
        <v>26</v>
      </c>
      <c r="E419" t="s">
        <v>17</v>
      </c>
      <c r="F419">
        <v>6576</v>
      </c>
      <c r="G419" s="1">
        <v>42377</v>
      </c>
      <c r="I419">
        <v>11</v>
      </c>
      <c r="J419" t="s">
        <v>18</v>
      </c>
      <c r="K419" t="s">
        <v>19</v>
      </c>
    </row>
    <row r="420" spans="1:11" x14ac:dyDescent="0.3">
      <c r="A420">
        <v>835</v>
      </c>
      <c r="B420" t="s">
        <v>440</v>
      </c>
      <c r="C420">
        <v>53</v>
      </c>
      <c r="D420" t="s">
        <v>16</v>
      </c>
      <c r="E420" t="s">
        <v>13</v>
      </c>
      <c r="F420">
        <v>4215</v>
      </c>
      <c r="G420" s="1">
        <v>44884</v>
      </c>
      <c r="H420">
        <v>1</v>
      </c>
      <c r="I420">
        <v>9</v>
      </c>
      <c r="J420" t="s">
        <v>18</v>
      </c>
      <c r="K420" t="s">
        <v>20</v>
      </c>
    </row>
    <row r="421" spans="1:11" x14ac:dyDescent="0.3">
      <c r="A421">
        <v>846</v>
      </c>
      <c r="B421" t="s">
        <v>441</v>
      </c>
      <c r="C421">
        <v>36</v>
      </c>
      <c r="D421" t="s">
        <v>26</v>
      </c>
      <c r="E421" t="s">
        <v>13</v>
      </c>
      <c r="F421">
        <v>4316</v>
      </c>
      <c r="G421" s="1">
        <v>44243</v>
      </c>
      <c r="I421">
        <v>17</v>
      </c>
      <c r="J421" t="s">
        <v>23</v>
      </c>
      <c r="K421" t="s">
        <v>19</v>
      </c>
    </row>
    <row r="422" spans="1:11" x14ac:dyDescent="0.3">
      <c r="A422">
        <v>850</v>
      </c>
      <c r="B422" t="s">
        <v>442</v>
      </c>
      <c r="C422">
        <v>26</v>
      </c>
      <c r="D422" t="s">
        <v>26</v>
      </c>
      <c r="E422" t="s">
        <v>13</v>
      </c>
      <c r="F422">
        <v>8255</v>
      </c>
      <c r="G422" s="1">
        <v>42967</v>
      </c>
      <c r="I422">
        <v>2</v>
      </c>
      <c r="J422" t="s">
        <v>14</v>
      </c>
      <c r="K422" t="s">
        <v>19</v>
      </c>
    </row>
    <row r="423" spans="1:11" x14ac:dyDescent="0.3">
      <c r="A423">
        <v>852</v>
      </c>
      <c r="B423" t="s">
        <v>443</v>
      </c>
      <c r="C423">
        <v>61</v>
      </c>
      <c r="D423" t="s">
        <v>16</v>
      </c>
      <c r="E423" t="s">
        <v>17</v>
      </c>
      <c r="F423">
        <v>7347</v>
      </c>
      <c r="G423" s="1">
        <v>43031</v>
      </c>
      <c r="H423">
        <v>5</v>
      </c>
      <c r="I423">
        <v>8</v>
      </c>
      <c r="J423" t="s">
        <v>14</v>
      </c>
      <c r="K423" t="s">
        <v>15</v>
      </c>
    </row>
    <row r="424" spans="1:11" x14ac:dyDescent="0.3">
      <c r="A424">
        <v>854</v>
      </c>
      <c r="B424" t="s">
        <v>444</v>
      </c>
      <c r="C424">
        <v>61</v>
      </c>
      <c r="D424" t="s">
        <v>26</v>
      </c>
      <c r="E424" t="s">
        <v>21</v>
      </c>
      <c r="F424">
        <v>5369</v>
      </c>
      <c r="G424" s="1">
        <v>45372</v>
      </c>
      <c r="H424">
        <v>1</v>
      </c>
      <c r="I424">
        <v>7</v>
      </c>
      <c r="J424" t="s">
        <v>18</v>
      </c>
      <c r="K424" t="s">
        <v>15</v>
      </c>
    </row>
    <row r="425" spans="1:11" x14ac:dyDescent="0.3">
      <c r="A425">
        <v>855</v>
      </c>
      <c r="B425" t="s">
        <v>445</v>
      </c>
      <c r="C425">
        <v>54</v>
      </c>
      <c r="D425" t="s">
        <v>26</v>
      </c>
      <c r="E425" t="s">
        <v>17</v>
      </c>
      <c r="F425">
        <v>6897</v>
      </c>
      <c r="G425" s="1">
        <v>44198</v>
      </c>
      <c r="H425">
        <v>2</v>
      </c>
      <c r="I425">
        <v>20</v>
      </c>
      <c r="J425" t="s">
        <v>18</v>
      </c>
      <c r="K425" t="s">
        <v>19</v>
      </c>
    </row>
    <row r="426" spans="1:11" x14ac:dyDescent="0.3">
      <c r="A426">
        <v>856</v>
      </c>
      <c r="B426" t="s">
        <v>446</v>
      </c>
      <c r="C426">
        <v>24</v>
      </c>
      <c r="D426" t="s">
        <v>16</v>
      </c>
      <c r="E426" t="s">
        <v>21</v>
      </c>
      <c r="F426">
        <v>2499</v>
      </c>
      <c r="G426" s="1">
        <v>43331</v>
      </c>
      <c r="I426">
        <v>8</v>
      </c>
      <c r="J426" t="s">
        <v>14</v>
      </c>
      <c r="K426" t="s">
        <v>15</v>
      </c>
    </row>
    <row r="427" spans="1:11" x14ac:dyDescent="0.3">
      <c r="A427">
        <v>857</v>
      </c>
      <c r="B427" t="s">
        <v>447</v>
      </c>
      <c r="C427">
        <v>23</v>
      </c>
      <c r="D427" t="s">
        <v>26</v>
      </c>
      <c r="E427" t="s">
        <v>13</v>
      </c>
      <c r="F427">
        <v>7314</v>
      </c>
      <c r="G427" s="1">
        <v>42373</v>
      </c>
      <c r="I427">
        <v>17</v>
      </c>
      <c r="J427" t="s">
        <v>18</v>
      </c>
      <c r="K427" t="s">
        <v>20</v>
      </c>
    </row>
    <row r="428" spans="1:11" x14ac:dyDescent="0.3">
      <c r="A428">
        <v>858</v>
      </c>
      <c r="B428" t="s">
        <v>448</v>
      </c>
      <c r="C428">
        <v>41</v>
      </c>
      <c r="D428" t="s">
        <v>26</v>
      </c>
      <c r="E428" t="s">
        <v>13</v>
      </c>
      <c r="F428">
        <v>9285</v>
      </c>
      <c r="G428" s="1">
        <v>45027</v>
      </c>
      <c r="H428">
        <v>3</v>
      </c>
      <c r="I428">
        <v>19</v>
      </c>
      <c r="J428" t="s">
        <v>14</v>
      </c>
      <c r="K428" t="s">
        <v>19</v>
      </c>
    </row>
    <row r="429" spans="1:11" x14ac:dyDescent="0.3">
      <c r="A429">
        <v>859</v>
      </c>
      <c r="B429" t="s">
        <v>449</v>
      </c>
      <c r="C429">
        <v>41</v>
      </c>
      <c r="D429" t="s">
        <v>16</v>
      </c>
      <c r="E429" t="s">
        <v>17</v>
      </c>
      <c r="F429">
        <v>7503</v>
      </c>
      <c r="G429" s="1">
        <v>43342</v>
      </c>
      <c r="I429">
        <v>6</v>
      </c>
      <c r="J429" t="s">
        <v>14</v>
      </c>
      <c r="K429" t="s">
        <v>20</v>
      </c>
    </row>
    <row r="430" spans="1:11" x14ac:dyDescent="0.3">
      <c r="A430">
        <v>861</v>
      </c>
      <c r="B430" t="s">
        <v>450</v>
      </c>
      <c r="C430">
        <v>23</v>
      </c>
      <c r="D430" t="s">
        <v>16</v>
      </c>
      <c r="E430" t="s">
        <v>13</v>
      </c>
      <c r="F430">
        <v>7176</v>
      </c>
      <c r="G430" s="1">
        <v>42076</v>
      </c>
      <c r="H430">
        <v>4</v>
      </c>
      <c r="I430">
        <v>6</v>
      </c>
      <c r="J430" t="s">
        <v>18</v>
      </c>
      <c r="K430" t="s">
        <v>19</v>
      </c>
    </row>
    <row r="431" spans="1:11" x14ac:dyDescent="0.3">
      <c r="A431">
        <v>862</v>
      </c>
      <c r="B431" t="s">
        <v>451</v>
      </c>
      <c r="C431">
        <v>45</v>
      </c>
      <c r="D431" t="s">
        <v>26</v>
      </c>
      <c r="E431" t="s">
        <v>13</v>
      </c>
      <c r="F431">
        <v>4808</v>
      </c>
      <c r="G431" s="1">
        <v>43812</v>
      </c>
      <c r="H431">
        <v>2</v>
      </c>
      <c r="I431">
        <v>10</v>
      </c>
      <c r="J431" t="s">
        <v>18</v>
      </c>
      <c r="K431" t="s">
        <v>19</v>
      </c>
    </row>
    <row r="432" spans="1:11" x14ac:dyDescent="0.3">
      <c r="A432">
        <v>863</v>
      </c>
      <c r="B432" t="s">
        <v>452</v>
      </c>
      <c r="C432">
        <v>28</v>
      </c>
      <c r="D432" t="s">
        <v>26</v>
      </c>
      <c r="E432" t="s">
        <v>13</v>
      </c>
      <c r="F432">
        <v>8191</v>
      </c>
      <c r="G432" s="1">
        <v>44602</v>
      </c>
      <c r="I432">
        <v>2</v>
      </c>
      <c r="J432" t="s">
        <v>14</v>
      </c>
      <c r="K432" t="s">
        <v>20</v>
      </c>
    </row>
    <row r="433" spans="1:11" x14ac:dyDescent="0.3">
      <c r="A433">
        <v>865</v>
      </c>
      <c r="B433" t="s">
        <v>453</v>
      </c>
      <c r="C433">
        <v>47</v>
      </c>
      <c r="D433" t="s">
        <v>26</v>
      </c>
      <c r="E433" t="s">
        <v>17</v>
      </c>
      <c r="F433">
        <v>8619</v>
      </c>
      <c r="G433" s="1">
        <v>45527</v>
      </c>
      <c r="H433">
        <v>2</v>
      </c>
      <c r="I433">
        <v>13</v>
      </c>
      <c r="J433" t="s">
        <v>18</v>
      </c>
      <c r="K433" t="s">
        <v>15</v>
      </c>
    </row>
    <row r="434" spans="1:11" x14ac:dyDescent="0.3">
      <c r="A434">
        <v>867</v>
      </c>
      <c r="B434" t="s">
        <v>454</v>
      </c>
      <c r="C434">
        <v>22</v>
      </c>
      <c r="D434" t="s">
        <v>26</v>
      </c>
      <c r="E434" t="s">
        <v>17</v>
      </c>
      <c r="F434">
        <v>5700</v>
      </c>
      <c r="G434" s="1">
        <v>44454</v>
      </c>
      <c r="H434">
        <v>5</v>
      </c>
      <c r="I434">
        <v>16</v>
      </c>
      <c r="J434" t="s">
        <v>23</v>
      </c>
      <c r="K434" t="s">
        <v>15</v>
      </c>
    </row>
    <row r="435" spans="1:11" x14ac:dyDescent="0.3">
      <c r="A435">
        <v>868</v>
      </c>
      <c r="B435" t="s">
        <v>455</v>
      </c>
      <c r="C435">
        <v>55</v>
      </c>
      <c r="D435" t="s">
        <v>12</v>
      </c>
      <c r="E435" t="s">
        <v>17</v>
      </c>
      <c r="F435">
        <v>3695</v>
      </c>
      <c r="G435" s="1">
        <v>42529</v>
      </c>
      <c r="H435">
        <v>1</v>
      </c>
      <c r="I435">
        <v>6</v>
      </c>
      <c r="J435" t="s">
        <v>23</v>
      </c>
      <c r="K435" t="s">
        <v>15</v>
      </c>
    </row>
    <row r="436" spans="1:11" x14ac:dyDescent="0.3">
      <c r="A436">
        <v>872</v>
      </c>
      <c r="B436" t="s">
        <v>456</v>
      </c>
      <c r="C436">
        <v>41</v>
      </c>
      <c r="D436" t="s">
        <v>26</v>
      </c>
      <c r="E436" t="s">
        <v>17</v>
      </c>
      <c r="F436">
        <v>7556</v>
      </c>
      <c r="G436" s="1">
        <v>44960</v>
      </c>
      <c r="I436">
        <v>16</v>
      </c>
      <c r="J436" t="s">
        <v>14</v>
      </c>
      <c r="K436" t="s">
        <v>19</v>
      </c>
    </row>
    <row r="437" spans="1:11" x14ac:dyDescent="0.3">
      <c r="A437">
        <v>875</v>
      </c>
      <c r="B437" t="s">
        <v>457</v>
      </c>
      <c r="C437">
        <v>34</v>
      </c>
      <c r="D437" t="s">
        <v>16</v>
      </c>
      <c r="E437" t="s">
        <v>13</v>
      </c>
      <c r="F437">
        <v>6706</v>
      </c>
      <c r="G437" s="1">
        <v>43388</v>
      </c>
      <c r="I437">
        <v>13</v>
      </c>
      <c r="J437" t="s">
        <v>18</v>
      </c>
      <c r="K437" t="s">
        <v>19</v>
      </c>
    </row>
    <row r="438" spans="1:11" x14ac:dyDescent="0.3">
      <c r="A438">
        <v>877</v>
      </c>
      <c r="B438" t="s">
        <v>458</v>
      </c>
      <c r="C438">
        <v>50</v>
      </c>
      <c r="D438" t="s">
        <v>16</v>
      </c>
      <c r="E438" t="s">
        <v>13</v>
      </c>
      <c r="F438">
        <v>8274</v>
      </c>
      <c r="G438" s="1">
        <v>45236</v>
      </c>
      <c r="I438">
        <v>3</v>
      </c>
      <c r="J438" t="s">
        <v>14</v>
      </c>
      <c r="K438" t="s">
        <v>19</v>
      </c>
    </row>
    <row r="439" spans="1:11" x14ac:dyDescent="0.3">
      <c r="A439">
        <v>880</v>
      </c>
      <c r="B439" t="s">
        <v>459</v>
      </c>
      <c r="C439">
        <v>54</v>
      </c>
      <c r="D439" t="s">
        <v>26</v>
      </c>
      <c r="E439" t="s">
        <v>21</v>
      </c>
      <c r="F439">
        <v>6185</v>
      </c>
      <c r="G439" s="1">
        <v>42672</v>
      </c>
      <c r="I439">
        <v>1</v>
      </c>
      <c r="J439" t="s">
        <v>14</v>
      </c>
      <c r="K439" t="s">
        <v>19</v>
      </c>
    </row>
    <row r="440" spans="1:11" x14ac:dyDescent="0.3">
      <c r="A440">
        <v>881</v>
      </c>
      <c r="B440" t="s">
        <v>460</v>
      </c>
      <c r="C440">
        <v>53</v>
      </c>
      <c r="D440" t="s">
        <v>26</v>
      </c>
      <c r="E440" t="s">
        <v>13</v>
      </c>
      <c r="F440">
        <v>8758</v>
      </c>
      <c r="G440" s="1">
        <v>45121</v>
      </c>
      <c r="I440">
        <v>5</v>
      </c>
      <c r="J440" t="s">
        <v>23</v>
      </c>
      <c r="K440" t="s">
        <v>20</v>
      </c>
    </row>
    <row r="441" spans="1:11" x14ac:dyDescent="0.3">
      <c r="A441">
        <v>883</v>
      </c>
      <c r="B441" t="s">
        <v>461</v>
      </c>
      <c r="C441">
        <v>47</v>
      </c>
      <c r="D441" t="s">
        <v>26</v>
      </c>
      <c r="E441" t="s">
        <v>21</v>
      </c>
      <c r="F441">
        <v>2029</v>
      </c>
      <c r="G441" s="1">
        <v>43804</v>
      </c>
      <c r="I441">
        <v>17</v>
      </c>
      <c r="J441" t="s">
        <v>18</v>
      </c>
      <c r="K441" t="s">
        <v>20</v>
      </c>
    </row>
    <row r="442" spans="1:11" x14ac:dyDescent="0.3">
      <c r="A442">
        <v>884</v>
      </c>
      <c r="B442" t="s">
        <v>462</v>
      </c>
      <c r="C442">
        <v>51</v>
      </c>
      <c r="D442" t="s">
        <v>26</v>
      </c>
      <c r="E442" t="s">
        <v>13</v>
      </c>
      <c r="F442">
        <v>7315</v>
      </c>
      <c r="G442" s="1">
        <v>45567</v>
      </c>
      <c r="I442">
        <v>8</v>
      </c>
      <c r="J442" t="s">
        <v>23</v>
      </c>
      <c r="K442" t="s">
        <v>19</v>
      </c>
    </row>
    <row r="443" spans="1:11" x14ac:dyDescent="0.3">
      <c r="A443">
        <v>885</v>
      </c>
      <c r="B443" t="s">
        <v>463</v>
      </c>
      <c r="C443">
        <v>65</v>
      </c>
      <c r="D443" t="s">
        <v>26</v>
      </c>
      <c r="E443" t="s">
        <v>17</v>
      </c>
      <c r="F443">
        <v>8456</v>
      </c>
      <c r="G443" s="1">
        <v>42455</v>
      </c>
      <c r="H443">
        <v>3</v>
      </c>
      <c r="I443">
        <v>14</v>
      </c>
      <c r="J443" t="s">
        <v>14</v>
      </c>
      <c r="K443" t="s">
        <v>19</v>
      </c>
    </row>
    <row r="444" spans="1:11" x14ac:dyDescent="0.3">
      <c r="A444">
        <v>887</v>
      </c>
      <c r="B444" t="s">
        <v>464</v>
      </c>
      <c r="C444">
        <v>43</v>
      </c>
      <c r="D444" t="s">
        <v>12</v>
      </c>
      <c r="E444" t="s">
        <v>21</v>
      </c>
      <c r="F444">
        <v>8772</v>
      </c>
      <c r="G444" s="1">
        <v>44482</v>
      </c>
      <c r="I444">
        <v>6</v>
      </c>
      <c r="J444" t="s">
        <v>14</v>
      </c>
      <c r="K444" t="s">
        <v>20</v>
      </c>
    </row>
    <row r="445" spans="1:11" x14ac:dyDescent="0.3">
      <c r="A445">
        <v>890</v>
      </c>
      <c r="B445" t="s">
        <v>465</v>
      </c>
      <c r="C445">
        <v>48</v>
      </c>
      <c r="D445" t="s">
        <v>12</v>
      </c>
      <c r="E445" t="s">
        <v>21</v>
      </c>
      <c r="F445">
        <v>6114</v>
      </c>
      <c r="G445" s="1">
        <v>44412</v>
      </c>
      <c r="H445">
        <v>1</v>
      </c>
      <c r="I445">
        <v>1</v>
      </c>
      <c r="J445" t="s">
        <v>23</v>
      </c>
      <c r="K445" t="s">
        <v>15</v>
      </c>
    </row>
    <row r="446" spans="1:11" x14ac:dyDescent="0.3">
      <c r="A446">
        <v>893</v>
      </c>
      <c r="B446" t="s">
        <v>466</v>
      </c>
      <c r="C446">
        <v>31</v>
      </c>
      <c r="D446" t="s">
        <v>26</v>
      </c>
      <c r="E446" t="s">
        <v>13</v>
      </c>
      <c r="F446">
        <v>4345</v>
      </c>
      <c r="G446" s="1">
        <v>45415</v>
      </c>
      <c r="H446">
        <v>5</v>
      </c>
      <c r="I446">
        <v>12</v>
      </c>
      <c r="J446" t="s">
        <v>18</v>
      </c>
      <c r="K446" t="s">
        <v>15</v>
      </c>
    </row>
    <row r="447" spans="1:11" x14ac:dyDescent="0.3">
      <c r="A447">
        <v>895</v>
      </c>
      <c r="B447" t="s">
        <v>467</v>
      </c>
      <c r="C447">
        <v>19</v>
      </c>
      <c r="D447" t="s">
        <v>26</v>
      </c>
      <c r="E447" t="s">
        <v>21</v>
      </c>
      <c r="F447">
        <v>8059</v>
      </c>
      <c r="G447" s="1">
        <v>42940</v>
      </c>
      <c r="H447">
        <v>4</v>
      </c>
      <c r="I447">
        <v>3</v>
      </c>
      <c r="J447" t="s">
        <v>18</v>
      </c>
      <c r="K447" t="s">
        <v>15</v>
      </c>
    </row>
    <row r="448" spans="1:11" x14ac:dyDescent="0.3">
      <c r="A448">
        <v>896</v>
      </c>
      <c r="B448" t="s">
        <v>468</v>
      </c>
      <c r="C448">
        <v>56</v>
      </c>
      <c r="D448" t="s">
        <v>12</v>
      </c>
      <c r="E448" t="s">
        <v>13</v>
      </c>
      <c r="F448">
        <v>3168</v>
      </c>
      <c r="G448" s="1">
        <v>42462</v>
      </c>
      <c r="H448">
        <v>1</v>
      </c>
      <c r="I448">
        <v>6</v>
      </c>
      <c r="J448" t="s">
        <v>14</v>
      </c>
      <c r="K448" t="s">
        <v>20</v>
      </c>
    </row>
    <row r="449" spans="1:11" x14ac:dyDescent="0.3">
      <c r="A449">
        <v>898</v>
      </c>
      <c r="B449" t="s">
        <v>469</v>
      </c>
      <c r="C449">
        <v>56</v>
      </c>
      <c r="D449" t="s">
        <v>12</v>
      </c>
      <c r="E449" t="s">
        <v>17</v>
      </c>
      <c r="F449">
        <v>4269</v>
      </c>
      <c r="G449" s="1">
        <v>43997</v>
      </c>
      <c r="I449">
        <v>13</v>
      </c>
      <c r="J449" t="s">
        <v>18</v>
      </c>
      <c r="K449" t="s">
        <v>20</v>
      </c>
    </row>
    <row r="450" spans="1:11" x14ac:dyDescent="0.3">
      <c r="A450">
        <v>899</v>
      </c>
      <c r="B450" t="s">
        <v>470</v>
      </c>
      <c r="C450">
        <v>44</v>
      </c>
      <c r="D450" t="s">
        <v>26</v>
      </c>
      <c r="E450" t="s">
        <v>17</v>
      </c>
      <c r="F450">
        <v>9819</v>
      </c>
      <c r="G450" s="1">
        <v>44757</v>
      </c>
      <c r="I450">
        <v>13</v>
      </c>
      <c r="J450" t="s">
        <v>14</v>
      </c>
      <c r="K450" t="s">
        <v>20</v>
      </c>
    </row>
    <row r="451" spans="1:11" x14ac:dyDescent="0.3">
      <c r="A451">
        <v>900</v>
      </c>
      <c r="B451" t="s">
        <v>471</v>
      </c>
      <c r="C451">
        <v>52</v>
      </c>
      <c r="D451" t="s">
        <v>16</v>
      </c>
      <c r="E451" t="s">
        <v>21</v>
      </c>
      <c r="F451">
        <v>7473</v>
      </c>
      <c r="G451" s="1">
        <v>45040</v>
      </c>
      <c r="H451">
        <v>2</v>
      </c>
      <c r="I451">
        <v>10</v>
      </c>
      <c r="J451" t="s">
        <v>23</v>
      </c>
      <c r="K451" t="s">
        <v>20</v>
      </c>
    </row>
    <row r="452" spans="1:11" x14ac:dyDescent="0.3">
      <c r="A452">
        <v>901</v>
      </c>
      <c r="B452" t="s">
        <v>472</v>
      </c>
      <c r="C452">
        <v>29</v>
      </c>
      <c r="D452" t="s">
        <v>26</v>
      </c>
      <c r="E452" t="s">
        <v>13</v>
      </c>
      <c r="F452">
        <v>7568</v>
      </c>
      <c r="G452" s="1">
        <v>45304</v>
      </c>
      <c r="H452">
        <v>5</v>
      </c>
      <c r="I452">
        <v>17</v>
      </c>
      <c r="J452" t="s">
        <v>18</v>
      </c>
      <c r="K452" t="s">
        <v>19</v>
      </c>
    </row>
    <row r="453" spans="1:11" x14ac:dyDescent="0.3">
      <c r="A453">
        <v>903</v>
      </c>
      <c r="B453" t="s">
        <v>473</v>
      </c>
      <c r="C453">
        <v>39</v>
      </c>
      <c r="D453" t="s">
        <v>12</v>
      </c>
      <c r="E453" t="s">
        <v>13</v>
      </c>
      <c r="F453">
        <v>6644</v>
      </c>
      <c r="G453" s="1">
        <v>43103</v>
      </c>
      <c r="I453">
        <v>7</v>
      </c>
      <c r="J453" t="s">
        <v>23</v>
      </c>
      <c r="K453" t="s">
        <v>19</v>
      </c>
    </row>
    <row r="454" spans="1:11" x14ac:dyDescent="0.3">
      <c r="A454">
        <v>906</v>
      </c>
      <c r="B454" t="s">
        <v>474</v>
      </c>
      <c r="C454">
        <v>36</v>
      </c>
      <c r="D454" t="s">
        <v>16</v>
      </c>
      <c r="E454" t="s">
        <v>17</v>
      </c>
      <c r="F454">
        <v>2371</v>
      </c>
      <c r="G454" s="1">
        <v>45001</v>
      </c>
      <c r="I454">
        <v>5</v>
      </c>
      <c r="J454" t="s">
        <v>18</v>
      </c>
      <c r="K454" t="s">
        <v>19</v>
      </c>
    </row>
    <row r="455" spans="1:11" x14ac:dyDescent="0.3">
      <c r="A455">
        <v>910</v>
      </c>
      <c r="B455" t="s">
        <v>475</v>
      </c>
      <c r="C455">
        <v>38</v>
      </c>
      <c r="D455" t="s">
        <v>16</v>
      </c>
      <c r="E455" t="s">
        <v>21</v>
      </c>
      <c r="F455">
        <v>5134</v>
      </c>
      <c r="G455" s="1">
        <v>44899</v>
      </c>
      <c r="H455">
        <v>5</v>
      </c>
      <c r="I455">
        <v>14</v>
      </c>
      <c r="J455" t="s">
        <v>23</v>
      </c>
      <c r="K455" t="s">
        <v>15</v>
      </c>
    </row>
    <row r="456" spans="1:11" x14ac:dyDescent="0.3">
      <c r="A456">
        <v>911</v>
      </c>
      <c r="B456" t="s">
        <v>476</v>
      </c>
      <c r="C456">
        <v>49</v>
      </c>
      <c r="D456" t="s">
        <v>12</v>
      </c>
      <c r="E456" t="s">
        <v>21</v>
      </c>
      <c r="F456">
        <v>6502</v>
      </c>
      <c r="G456" s="1">
        <v>44709</v>
      </c>
      <c r="H456">
        <v>3</v>
      </c>
      <c r="I456">
        <v>1</v>
      </c>
      <c r="J456" t="s">
        <v>18</v>
      </c>
      <c r="K456" t="s">
        <v>19</v>
      </c>
    </row>
    <row r="457" spans="1:11" x14ac:dyDescent="0.3">
      <c r="A457">
        <v>913</v>
      </c>
      <c r="B457" t="s">
        <v>477</v>
      </c>
      <c r="C457">
        <v>59</v>
      </c>
      <c r="D457" t="s">
        <v>12</v>
      </c>
      <c r="E457" t="s">
        <v>17</v>
      </c>
      <c r="F457">
        <v>4875</v>
      </c>
      <c r="G457" s="1">
        <v>42022</v>
      </c>
      <c r="I457">
        <v>6</v>
      </c>
      <c r="J457" t="s">
        <v>18</v>
      </c>
      <c r="K457" t="s">
        <v>19</v>
      </c>
    </row>
    <row r="458" spans="1:11" x14ac:dyDescent="0.3">
      <c r="A458">
        <v>914</v>
      </c>
      <c r="B458" t="s">
        <v>478</v>
      </c>
      <c r="C458">
        <v>56</v>
      </c>
      <c r="D458" t="s">
        <v>16</v>
      </c>
      <c r="E458" t="s">
        <v>21</v>
      </c>
      <c r="F458">
        <v>5322</v>
      </c>
      <c r="G458" s="1">
        <v>44844</v>
      </c>
      <c r="I458">
        <v>6</v>
      </c>
      <c r="J458" t="s">
        <v>18</v>
      </c>
      <c r="K458" t="s">
        <v>19</v>
      </c>
    </row>
    <row r="459" spans="1:11" x14ac:dyDescent="0.3">
      <c r="A459">
        <v>916</v>
      </c>
      <c r="B459" t="s">
        <v>479</v>
      </c>
      <c r="C459">
        <v>21</v>
      </c>
      <c r="D459" t="s">
        <v>12</v>
      </c>
      <c r="E459" t="s">
        <v>13</v>
      </c>
      <c r="F459">
        <v>6900</v>
      </c>
      <c r="G459" s="1">
        <v>42634</v>
      </c>
      <c r="I459">
        <v>10</v>
      </c>
      <c r="J459" t="s">
        <v>23</v>
      </c>
      <c r="K459" t="s">
        <v>20</v>
      </c>
    </row>
    <row r="460" spans="1:11" x14ac:dyDescent="0.3">
      <c r="A460">
        <v>917</v>
      </c>
      <c r="B460" t="s">
        <v>480</v>
      </c>
      <c r="C460">
        <v>50</v>
      </c>
      <c r="D460" t="s">
        <v>26</v>
      </c>
      <c r="E460" t="s">
        <v>21</v>
      </c>
      <c r="F460">
        <v>6907</v>
      </c>
      <c r="G460" s="1">
        <v>45300</v>
      </c>
      <c r="H460">
        <v>1</v>
      </c>
      <c r="I460">
        <v>4</v>
      </c>
      <c r="J460" t="s">
        <v>18</v>
      </c>
      <c r="K460" t="s">
        <v>15</v>
      </c>
    </row>
    <row r="461" spans="1:11" x14ac:dyDescent="0.3">
      <c r="A461">
        <v>919</v>
      </c>
      <c r="B461" t="s">
        <v>481</v>
      </c>
      <c r="C461">
        <v>22</v>
      </c>
      <c r="D461" t="s">
        <v>16</v>
      </c>
      <c r="E461" t="s">
        <v>21</v>
      </c>
      <c r="F461">
        <v>3625</v>
      </c>
      <c r="G461" s="1">
        <v>42667</v>
      </c>
      <c r="H461">
        <v>4</v>
      </c>
      <c r="I461">
        <v>14</v>
      </c>
      <c r="J461" t="s">
        <v>23</v>
      </c>
      <c r="K461" t="s">
        <v>20</v>
      </c>
    </row>
    <row r="462" spans="1:11" x14ac:dyDescent="0.3">
      <c r="A462">
        <v>922</v>
      </c>
      <c r="B462" t="s">
        <v>482</v>
      </c>
      <c r="C462">
        <v>52</v>
      </c>
      <c r="D462" t="s">
        <v>16</v>
      </c>
      <c r="E462" t="s">
        <v>21</v>
      </c>
      <c r="F462">
        <v>5090</v>
      </c>
      <c r="G462" s="1">
        <v>42364</v>
      </c>
      <c r="I462">
        <v>9</v>
      </c>
      <c r="J462" t="s">
        <v>18</v>
      </c>
      <c r="K462" t="s">
        <v>19</v>
      </c>
    </row>
    <row r="463" spans="1:11" x14ac:dyDescent="0.3">
      <c r="A463">
        <v>923</v>
      </c>
      <c r="B463" t="s">
        <v>483</v>
      </c>
      <c r="C463">
        <v>39</v>
      </c>
      <c r="D463" t="s">
        <v>26</v>
      </c>
      <c r="E463" t="s">
        <v>13</v>
      </c>
      <c r="F463">
        <v>9553</v>
      </c>
      <c r="G463" s="1">
        <v>43250</v>
      </c>
      <c r="I463">
        <v>15</v>
      </c>
      <c r="J463" t="s">
        <v>18</v>
      </c>
      <c r="K463" t="s">
        <v>20</v>
      </c>
    </row>
    <row r="464" spans="1:11" x14ac:dyDescent="0.3">
      <c r="A464">
        <v>925</v>
      </c>
      <c r="B464" t="s">
        <v>484</v>
      </c>
      <c r="C464">
        <v>38</v>
      </c>
      <c r="D464" t="s">
        <v>26</v>
      </c>
      <c r="E464" t="s">
        <v>17</v>
      </c>
      <c r="F464">
        <v>6578</v>
      </c>
      <c r="G464" s="1">
        <v>45182</v>
      </c>
      <c r="I464">
        <v>1</v>
      </c>
      <c r="J464" t="s">
        <v>23</v>
      </c>
      <c r="K464" t="s">
        <v>20</v>
      </c>
    </row>
    <row r="465" spans="1:11" x14ac:dyDescent="0.3">
      <c r="A465">
        <v>929</v>
      </c>
      <c r="B465" t="s">
        <v>485</v>
      </c>
      <c r="C465">
        <v>62</v>
      </c>
      <c r="D465" t="s">
        <v>12</v>
      </c>
      <c r="E465" t="s">
        <v>21</v>
      </c>
      <c r="F465">
        <v>4876</v>
      </c>
      <c r="G465" s="1">
        <v>43810</v>
      </c>
      <c r="I465">
        <v>18</v>
      </c>
      <c r="J465" t="s">
        <v>23</v>
      </c>
      <c r="K465" t="s">
        <v>15</v>
      </c>
    </row>
    <row r="466" spans="1:11" x14ac:dyDescent="0.3">
      <c r="A466">
        <v>931</v>
      </c>
      <c r="B466" t="s">
        <v>486</v>
      </c>
      <c r="C466">
        <v>22</v>
      </c>
      <c r="D466" t="s">
        <v>16</v>
      </c>
      <c r="E466" t="s">
        <v>13</v>
      </c>
      <c r="F466">
        <v>3681</v>
      </c>
      <c r="G466" s="1">
        <v>43944</v>
      </c>
      <c r="H466">
        <v>3</v>
      </c>
      <c r="I466">
        <v>16</v>
      </c>
      <c r="J466" t="s">
        <v>14</v>
      </c>
      <c r="K466" t="s">
        <v>15</v>
      </c>
    </row>
    <row r="467" spans="1:11" x14ac:dyDescent="0.3">
      <c r="A467">
        <v>932</v>
      </c>
      <c r="B467" t="s">
        <v>487</v>
      </c>
      <c r="C467">
        <v>20</v>
      </c>
      <c r="D467" t="s">
        <v>26</v>
      </c>
      <c r="E467" t="s">
        <v>17</v>
      </c>
      <c r="F467">
        <v>2850</v>
      </c>
      <c r="G467" s="1">
        <v>43032</v>
      </c>
      <c r="H467">
        <v>2</v>
      </c>
      <c r="I467">
        <v>18</v>
      </c>
      <c r="J467" t="s">
        <v>14</v>
      </c>
      <c r="K467" t="s">
        <v>15</v>
      </c>
    </row>
    <row r="468" spans="1:11" x14ac:dyDescent="0.3">
      <c r="A468">
        <v>934</v>
      </c>
      <c r="B468" t="s">
        <v>488</v>
      </c>
      <c r="C468">
        <v>37</v>
      </c>
      <c r="D468" t="s">
        <v>26</v>
      </c>
      <c r="E468" t="s">
        <v>21</v>
      </c>
      <c r="F468">
        <v>3364</v>
      </c>
      <c r="G468" s="1">
        <v>42348</v>
      </c>
      <c r="H468">
        <v>2</v>
      </c>
      <c r="I468">
        <v>8</v>
      </c>
      <c r="J468" t="s">
        <v>18</v>
      </c>
      <c r="K468" t="s">
        <v>19</v>
      </c>
    </row>
    <row r="469" spans="1:11" x14ac:dyDescent="0.3">
      <c r="A469">
        <v>935</v>
      </c>
      <c r="B469" t="s">
        <v>489</v>
      </c>
      <c r="C469">
        <v>30</v>
      </c>
      <c r="D469" t="s">
        <v>26</v>
      </c>
      <c r="E469" t="s">
        <v>21</v>
      </c>
      <c r="F469">
        <v>2735</v>
      </c>
      <c r="G469" s="1">
        <v>42319</v>
      </c>
      <c r="I469">
        <v>16</v>
      </c>
      <c r="J469" t="s">
        <v>14</v>
      </c>
      <c r="K469" t="s">
        <v>19</v>
      </c>
    </row>
    <row r="470" spans="1:11" x14ac:dyDescent="0.3">
      <c r="A470">
        <v>936</v>
      </c>
      <c r="B470" t="s">
        <v>490</v>
      </c>
      <c r="C470">
        <v>62</v>
      </c>
      <c r="D470" t="s">
        <v>12</v>
      </c>
      <c r="E470" t="s">
        <v>17</v>
      </c>
      <c r="F470">
        <v>4369</v>
      </c>
      <c r="G470" s="1">
        <v>45630</v>
      </c>
      <c r="I470">
        <v>17</v>
      </c>
      <c r="J470" t="s">
        <v>23</v>
      </c>
      <c r="K470" t="s">
        <v>20</v>
      </c>
    </row>
    <row r="471" spans="1:11" x14ac:dyDescent="0.3">
      <c r="A471">
        <v>937</v>
      </c>
      <c r="B471" t="s">
        <v>491</v>
      </c>
      <c r="C471">
        <v>65</v>
      </c>
      <c r="D471" t="s">
        <v>16</v>
      </c>
      <c r="E471" t="s">
        <v>13</v>
      </c>
      <c r="F471">
        <v>8129</v>
      </c>
      <c r="G471" s="1">
        <v>42429</v>
      </c>
      <c r="I471">
        <v>10</v>
      </c>
      <c r="J471" t="s">
        <v>14</v>
      </c>
      <c r="K471" t="s">
        <v>15</v>
      </c>
    </row>
    <row r="472" spans="1:11" x14ac:dyDescent="0.3">
      <c r="A472">
        <v>940</v>
      </c>
      <c r="B472" t="s">
        <v>492</v>
      </c>
      <c r="C472">
        <v>57</v>
      </c>
      <c r="D472" t="s">
        <v>12</v>
      </c>
      <c r="E472" t="s">
        <v>13</v>
      </c>
      <c r="F472">
        <v>8927</v>
      </c>
      <c r="G472" s="1">
        <v>45495</v>
      </c>
      <c r="I472">
        <v>17</v>
      </c>
      <c r="J472" t="s">
        <v>23</v>
      </c>
      <c r="K472" t="s">
        <v>15</v>
      </c>
    </row>
    <row r="473" spans="1:11" x14ac:dyDescent="0.3">
      <c r="A473">
        <v>941</v>
      </c>
      <c r="B473" t="s">
        <v>493</v>
      </c>
      <c r="C473">
        <v>49</v>
      </c>
      <c r="D473" t="s">
        <v>26</v>
      </c>
      <c r="E473" t="s">
        <v>21</v>
      </c>
      <c r="F473">
        <v>7068</v>
      </c>
      <c r="G473" s="1">
        <v>43607</v>
      </c>
      <c r="I473">
        <v>11</v>
      </c>
      <c r="J473" t="s">
        <v>23</v>
      </c>
      <c r="K473" t="s">
        <v>20</v>
      </c>
    </row>
    <row r="474" spans="1:11" x14ac:dyDescent="0.3">
      <c r="A474">
        <v>943</v>
      </c>
      <c r="B474" t="s">
        <v>494</v>
      </c>
      <c r="C474">
        <v>60</v>
      </c>
      <c r="D474" t="s">
        <v>16</v>
      </c>
      <c r="E474" t="s">
        <v>21</v>
      </c>
      <c r="F474">
        <v>2300</v>
      </c>
      <c r="G474" s="1">
        <v>42783</v>
      </c>
      <c r="I474">
        <v>13</v>
      </c>
      <c r="J474" t="s">
        <v>14</v>
      </c>
      <c r="K474" t="s">
        <v>20</v>
      </c>
    </row>
    <row r="475" spans="1:11" x14ac:dyDescent="0.3">
      <c r="A475">
        <v>944</v>
      </c>
      <c r="B475" t="s">
        <v>495</v>
      </c>
      <c r="C475">
        <v>35</v>
      </c>
      <c r="D475" t="s">
        <v>26</v>
      </c>
      <c r="E475" t="s">
        <v>21</v>
      </c>
      <c r="F475">
        <v>7251</v>
      </c>
      <c r="G475" s="1">
        <v>44180</v>
      </c>
      <c r="H475">
        <v>3</v>
      </c>
      <c r="I475">
        <v>19</v>
      </c>
      <c r="J475" t="s">
        <v>18</v>
      </c>
      <c r="K475" t="s">
        <v>19</v>
      </c>
    </row>
    <row r="476" spans="1:11" x14ac:dyDescent="0.3">
      <c r="A476">
        <v>945</v>
      </c>
      <c r="B476" t="s">
        <v>496</v>
      </c>
      <c r="C476">
        <v>29</v>
      </c>
      <c r="D476" t="s">
        <v>12</v>
      </c>
      <c r="E476" t="s">
        <v>13</v>
      </c>
      <c r="F476">
        <v>9402</v>
      </c>
      <c r="G476" s="1">
        <v>43082</v>
      </c>
      <c r="I476">
        <v>1</v>
      </c>
      <c r="J476" t="s">
        <v>14</v>
      </c>
      <c r="K476" t="s">
        <v>15</v>
      </c>
    </row>
    <row r="477" spans="1:11" x14ac:dyDescent="0.3">
      <c r="A477">
        <v>949</v>
      </c>
      <c r="B477" t="s">
        <v>497</v>
      </c>
      <c r="C477">
        <v>62</v>
      </c>
      <c r="D477" t="s">
        <v>16</v>
      </c>
      <c r="E477" t="s">
        <v>13</v>
      </c>
      <c r="F477">
        <v>7389</v>
      </c>
      <c r="G477" s="1">
        <v>44199</v>
      </c>
      <c r="H477">
        <v>3</v>
      </c>
      <c r="I477">
        <v>10</v>
      </c>
      <c r="J477" t="s">
        <v>18</v>
      </c>
      <c r="K477" t="s">
        <v>19</v>
      </c>
    </row>
    <row r="478" spans="1:11" x14ac:dyDescent="0.3">
      <c r="A478">
        <v>952</v>
      </c>
      <c r="B478" t="s">
        <v>498</v>
      </c>
      <c r="C478">
        <v>43</v>
      </c>
      <c r="D478" t="s">
        <v>12</v>
      </c>
      <c r="E478" t="s">
        <v>21</v>
      </c>
      <c r="F478">
        <v>5833</v>
      </c>
      <c r="G478" s="1">
        <v>44375</v>
      </c>
      <c r="H478">
        <v>4</v>
      </c>
      <c r="I478">
        <v>15</v>
      </c>
      <c r="J478" t="s">
        <v>23</v>
      </c>
      <c r="K478" t="s">
        <v>15</v>
      </c>
    </row>
    <row r="479" spans="1:11" x14ac:dyDescent="0.3">
      <c r="A479">
        <v>953</v>
      </c>
      <c r="B479" t="s">
        <v>499</v>
      </c>
      <c r="C479">
        <v>20</v>
      </c>
      <c r="D479" t="s">
        <v>26</v>
      </c>
      <c r="E479" t="s">
        <v>13</v>
      </c>
      <c r="F479">
        <v>2786</v>
      </c>
      <c r="G479" s="1">
        <v>45579</v>
      </c>
      <c r="H479">
        <v>1</v>
      </c>
      <c r="I479">
        <v>15</v>
      </c>
      <c r="J479" t="s">
        <v>18</v>
      </c>
      <c r="K479" t="s">
        <v>20</v>
      </c>
    </row>
    <row r="480" spans="1:11" x14ac:dyDescent="0.3">
      <c r="A480">
        <v>954</v>
      </c>
      <c r="B480" t="s">
        <v>500</v>
      </c>
      <c r="C480">
        <v>53</v>
      </c>
      <c r="D480" t="s">
        <v>26</v>
      </c>
      <c r="E480" t="s">
        <v>13</v>
      </c>
      <c r="F480">
        <v>5616</v>
      </c>
      <c r="G480" s="1">
        <v>44773</v>
      </c>
      <c r="H480">
        <v>4</v>
      </c>
      <c r="I480">
        <v>16</v>
      </c>
      <c r="J480" t="s">
        <v>18</v>
      </c>
      <c r="K480" t="s">
        <v>15</v>
      </c>
    </row>
    <row r="481" spans="1:11" x14ac:dyDescent="0.3">
      <c r="A481">
        <v>957</v>
      </c>
      <c r="B481" t="s">
        <v>501</v>
      </c>
      <c r="C481">
        <v>54</v>
      </c>
      <c r="D481" t="s">
        <v>16</v>
      </c>
      <c r="E481" t="s">
        <v>17</v>
      </c>
      <c r="F481">
        <v>6091</v>
      </c>
      <c r="G481" s="1">
        <v>43122</v>
      </c>
      <c r="H481">
        <v>2</v>
      </c>
      <c r="I481">
        <v>12</v>
      </c>
      <c r="J481" t="s">
        <v>14</v>
      </c>
      <c r="K481" t="s">
        <v>19</v>
      </c>
    </row>
    <row r="482" spans="1:11" x14ac:dyDescent="0.3">
      <c r="A482">
        <v>958</v>
      </c>
      <c r="B482" t="s">
        <v>502</v>
      </c>
      <c r="C482">
        <v>34</v>
      </c>
      <c r="D482" t="s">
        <v>16</v>
      </c>
      <c r="E482" t="s">
        <v>17</v>
      </c>
      <c r="F482">
        <v>6501</v>
      </c>
      <c r="G482" s="1">
        <v>45224</v>
      </c>
      <c r="I482">
        <v>13</v>
      </c>
      <c r="J482" t="s">
        <v>23</v>
      </c>
      <c r="K482" t="s">
        <v>15</v>
      </c>
    </row>
    <row r="483" spans="1:11" x14ac:dyDescent="0.3">
      <c r="A483">
        <v>960</v>
      </c>
      <c r="B483" t="s">
        <v>503</v>
      </c>
      <c r="C483">
        <v>63</v>
      </c>
      <c r="D483" t="s">
        <v>16</v>
      </c>
      <c r="E483" t="s">
        <v>13</v>
      </c>
      <c r="F483">
        <v>7490</v>
      </c>
      <c r="G483" s="1">
        <v>44996</v>
      </c>
      <c r="I483">
        <v>16</v>
      </c>
      <c r="J483" t="s">
        <v>14</v>
      </c>
      <c r="K483" t="s">
        <v>15</v>
      </c>
    </row>
    <row r="484" spans="1:11" x14ac:dyDescent="0.3">
      <c r="A484">
        <v>962</v>
      </c>
      <c r="B484" t="s">
        <v>504</v>
      </c>
      <c r="C484">
        <v>21</v>
      </c>
      <c r="D484" t="s">
        <v>12</v>
      </c>
      <c r="E484" t="s">
        <v>17</v>
      </c>
      <c r="F484">
        <v>3896</v>
      </c>
      <c r="G484" s="1">
        <v>44269</v>
      </c>
      <c r="I484">
        <v>7</v>
      </c>
      <c r="J484" t="s">
        <v>23</v>
      </c>
      <c r="K484" t="s">
        <v>15</v>
      </c>
    </row>
    <row r="485" spans="1:11" x14ac:dyDescent="0.3">
      <c r="A485">
        <v>963</v>
      </c>
      <c r="B485" t="s">
        <v>505</v>
      </c>
      <c r="C485">
        <v>65</v>
      </c>
      <c r="D485" t="s">
        <v>12</v>
      </c>
      <c r="E485" t="s">
        <v>17</v>
      </c>
      <c r="F485">
        <v>6788</v>
      </c>
      <c r="G485" s="1">
        <v>45313</v>
      </c>
      <c r="H485">
        <v>4</v>
      </c>
      <c r="I485">
        <v>6</v>
      </c>
      <c r="J485" t="s">
        <v>14</v>
      </c>
      <c r="K485" t="s">
        <v>19</v>
      </c>
    </row>
    <row r="486" spans="1:11" x14ac:dyDescent="0.3">
      <c r="A486">
        <v>964</v>
      </c>
      <c r="B486" t="s">
        <v>506</v>
      </c>
      <c r="C486">
        <v>35</v>
      </c>
      <c r="D486" t="s">
        <v>26</v>
      </c>
      <c r="E486" t="s">
        <v>13</v>
      </c>
      <c r="F486">
        <v>3433</v>
      </c>
      <c r="G486" s="1">
        <v>44080</v>
      </c>
      <c r="H486">
        <v>4</v>
      </c>
      <c r="I486">
        <v>3</v>
      </c>
      <c r="J486" t="s">
        <v>23</v>
      </c>
      <c r="K486" t="s">
        <v>15</v>
      </c>
    </row>
    <row r="487" spans="1:11" x14ac:dyDescent="0.3">
      <c r="A487">
        <v>966</v>
      </c>
      <c r="B487" t="s">
        <v>507</v>
      </c>
      <c r="C487">
        <v>65</v>
      </c>
      <c r="D487" t="s">
        <v>12</v>
      </c>
      <c r="E487" t="s">
        <v>13</v>
      </c>
      <c r="F487">
        <v>2959</v>
      </c>
      <c r="G487" s="1">
        <v>43642</v>
      </c>
      <c r="I487">
        <v>2</v>
      </c>
      <c r="J487" t="s">
        <v>18</v>
      </c>
      <c r="K487" t="s">
        <v>19</v>
      </c>
    </row>
    <row r="488" spans="1:11" x14ac:dyDescent="0.3">
      <c r="A488">
        <v>967</v>
      </c>
      <c r="B488" t="s">
        <v>508</v>
      </c>
      <c r="C488">
        <v>50</v>
      </c>
      <c r="D488" t="s">
        <v>12</v>
      </c>
      <c r="E488" t="s">
        <v>13</v>
      </c>
      <c r="F488">
        <v>2736</v>
      </c>
      <c r="G488" s="1">
        <v>45529</v>
      </c>
      <c r="H488">
        <v>1</v>
      </c>
      <c r="I488">
        <v>13</v>
      </c>
      <c r="J488" t="s">
        <v>23</v>
      </c>
      <c r="K488" t="s">
        <v>19</v>
      </c>
    </row>
    <row r="489" spans="1:11" x14ac:dyDescent="0.3">
      <c r="A489">
        <v>969</v>
      </c>
      <c r="B489" t="s">
        <v>509</v>
      </c>
      <c r="C489">
        <v>65</v>
      </c>
      <c r="D489" t="s">
        <v>16</v>
      </c>
      <c r="E489" t="s">
        <v>17</v>
      </c>
      <c r="F489">
        <v>8928</v>
      </c>
      <c r="G489" s="1">
        <v>43926</v>
      </c>
      <c r="H489">
        <v>1</v>
      </c>
      <c r="I489">
        <v>6</v>
      </c>
      <c r="J489" t="s">
        <v>23</v>
      </c>
      <c r="K489" t="s">
        <v>19</v>
      </c>
    </row>
    <row r="490" spans="1:11" x14ac:dyDescent="0.3">
      <c r="A490">
        <v>976</v>
      </c>
      <c r="B490" t="s">
        <v>510</v>
      </c>
      <c r="C490">
        <v>52</v>
      </c>
      <c r="D490" t="s">
        <v>12</v>
      </c>
      <c r="E490" t="s">
        <v>21</v>
      </c>
      <c r="F490">
        <v>2093</v>
      </c>
      <c r="G490" s="1">
        <v>44096</v>
      </c>
      <c r="I490">
        <v>14</v>
      </c>
      <c r="J490" t="s">
        <v>14</v>
      </c>
      <c r="K490" t="s">
        <v>15</v>
      </c>
    </row>
    <row r="491" spans="1:11" x14ac:dyDescent="0.3">
      <c r="A491">
        <v>977</v>
      </c>
      <c r="B491" t="s">
        <v>511</v>
      </c>
      <c r="C491">
        <v>19</v>
      </c>
      <c r="D491" t="s">
        <v>26</v>
      </c>
      <c r="E491" t="s">
        <v>17</v>
      </c>
      <c r="F491">
        <v>9331</v>
      </c>
      <c r="G491" s="1">
        <v>43284</v>
      </c>
      <c r="H491">
        <v>5</v>
      </c>
      <c r="I491">
        <v>12</v>
      </c>
      <c r="J491" t="s">
        <v>14</v>
      </c>
      <c r="K491" t="s">
        <v>20</v>
      </c>
    </row>
    <row r="492" spans="1:11" x14ac:dyDescent="0.3">
      <c r="A492">
        <v>980</v>
      </c>
      <c r="B492" t="s">
        <v>512</v>
      </c>
      <c r="C492">
        <v>55</v>
      </c>
      <c r="D492" t="s">
        <v>12</v>
      </c>
      <c r="E492" t="s">
        <v>21</v>
      </c>
      <c r="F492">
        <v>4952</v>
      </c>
      <c r="G492" s="1">
        <v>45173</v>
      </c>
      <c r="H492">
        <v>2</v>
      </c>
      <c r="I492">
        <v>5</v>
      </c>
      <c r="J492" t="s">
        <v>23</v>
      </c>
      <c r="K492" t="s">
        <v>15</v>
      </c>
    </row>
    <row r="493" spans="1:11" x14ac:dyDescent="0.3">
      <c r="A493">
        <v>982</v>
      </c>
      <c r="B493" t="s">
        <v>513</v>
      </c>
      <c r="C493">
        <v>31</v>
      </c>
      <c r="D493" t="s">
        <v>12</v>
      </c>
      <c r="E493" t="s">
        <v>17</v>
      </c>
      <c r="F493">
        <v>4921</v>
      </c>
      <c r="G493" s="1">
        <v>42611</v>
      </c>
      <c r="I493">
        <v>19</v>
      </c>
      <c r="J493" t="s">
        <v>14</v>
      </c>
      <c r="K493" t="s">
        <v>19</v>
      </c>
    </row>
    <row r="494" spans="1:11" x14ac:dyDescent="0.3">
      <c r="A494">
        <v>983</v>
      </c>
      <c r="B494" t="s">
        <v>514</v>
      </c>
      <c r="C494">
        <v>46</v>
      </c>
      <c r="D494" t="s">
        <v>16</v>
      </c>
      <c r="E494" t="s">
        <v>17</v>
      </c>
      <c r="F494">
        <v>8696</v>
      </c>
      <c r="G494" s="1">
        <v>44848</v>
      </c>
      <c r="H494">
        <v>4</v>
      </c>
      <c r="I494">
        <v>1</v>
      </c>
      <c r="J494" t="s">
        <v>14</v>
      </c>
      <c r="K494" t="s">
        <v>19</v>
      </c>
    </row>
    <row r="495" spans="1:11" x14ac:dyDescent="0.3">
      <c r="A495">
        <v>987</v>
      </c>
      <c r="B495" t="s">
        <v>515</v>
      </c>
      <c r="C495">
        <v>39</v>
      </c>
      <c r="D495" t="s">
        <v>12</v>
      </c>
      <c r="E495" t="s">
        <v>21</v>
      </c>
      <c r="F495">
        <v>9618</v>
      </c>
      <c r="G495" s="1">
        <v>42190</v>
      </c>
      <c r="H495">
        <v>1</v>
      </c>
      <c r="I495">
        <v>13</v>
      </c>
      <c r="J495" t="s">
        <v>14</v>
      </c>
      <c r="K495" t="s">
        <v>20</v>
      </c>
    </row>
    <row r="496" spans="1:11" x14ac:dyDescent="0.3">
      <c r="A496">
        <v>988</v>
      </c>
      <c r="B496" t="s">
        <v>516</v>
      </c>
      <c r="C496">
        <v>31</v>
      </c>
      <c r="D496" t="s">
        <v>12</v>
      </c>
      <c r="E496" t="s">
        <v>21</v>
      </c>
      <c r="F496">
        <v>5605</v>
      </c>
      <c r="G496" s="1">
        <v>45471</v>
      </c>
      <c r="I496">
        <v>1</v>
      </c>
      <c r="J496" t="s">
        <v>23</v>
      </c>
      <c r="K496" t="s">
        <v>20</v>
      </c>
    </row>
    <row r="497" spans="1:11" x14ac:dyDescent="0.3">
      <c r="A497">
        <v>989</v>
      </c>
      <c r="B497" t="s">
        <v>517</v>
      </c>
      <c r="C497">
        <v>36</v>
      </c>
      <c r="D497" t="s">
        <v>12</v>
      </c>
      <c r="E497" t="s">
        <v>21</v>
      </c>
      <c r="F497">
        <v>9118</v>
      </c>
      <c r="G497" s="1">
        <v>44744</v>
      </c>
      <c r="H497">
        <v>5</v>
      </c>
      <c r="I497">
        <v>5</v>
      </c>
      <c r="J497" t="s">
        <v>14</v>
      </c>
      <c r="K497" t="s">
        <v>15</v>
      </c>
    </row>
    <row r="498" spans="1:11" x14ac:dyDescent="0.3">
      <c r="A498">
        <v>990</v>
      </c>
      <c r="B498" t="s">
        <v>518</v>
      </c>
      <c r="C498">
        <v>18</v>
      </c>
      <c r="D498" t="s">
        <v>16</v>
      </c>
      <c r="E498" t="s">
        <v>13</v>
      </c>
      <c r="F498">
        <v>9985</v>
      </c>
      <c r="G498" s="1">
        <v>44870</v>
      </c>
      <c r="H498">
        <v>4</v>
      </c>
      <c r="I498">
        <v>18</v>
      </c>
      <c r="J498" t="s">
        <v>23</v>
      </c>
      <c r="K498" t="s">
        <v>15</v>
      </c>
    </row>
    <row r="499" spans="1:11" x14ac:dyDescent="0.3">
      <c r="A499">
        <v>991</v>
      </c>
      <c r="B499" t="s">
        <v>519</v>
      </c>
      <c r="C499">
        <v>53</v>
      </c>
      <c r="D499" t="s">
        <v>12</v>
      </c>
      <c r="E499" t="s">
        <v>13</v>
      </c>
      <c r="F499">
        <v>3991</v>
      </c>
      <c r="G499" s="1">
        <v>45538</v>
      </c>
      <c r="H499">
        <v>4</v>
      </c>
      <c r="I499">
        <v>8</v>
      </c>
      <c r="J499" t="s">
        <v>23</v>
      </c>
      <c r="K499" t="s">
        <v>20</v>
      </c>
    </row>
    <row r="500" spans="1:11" x14ac:dyDescent="0.3">
      <c r="A500">
        <v>996</v>
      </c>
      <c r="B500" t="s">
        <v>520</v>
      </c>
      <c r="C500">
        <v>49</v>
      </c>
      <c r="D500" t="s">
        <v>12</v>
      </c>
      <c r="E500" t="s">
        <v>17</v>
      </c>
      <c r="F500">
        <v>7652</v>
      </c>
      <c r="G500" s="1">
        <v>45466</v>
      </c>
      <c r="H500">
        <v>4</v>
      </c>
      <c r="I500">
        <v>3</v>
      </c>
      <c r="J500" t="s">
        <v>18</v>
      </c>
      <c r="K500" t="s">
        <v>19</v>
      </c>
    </row>
    <row r="501" spans="1:11" x14ac:dyDescent="0.3">
      <c r="A501">
        <v>998</v>
      </c>
      <c r="B501" t="s">
        <v>521</v>
      </c>
      <c r="C501">
        <v>18</v>
      </c>
      <c r="D501" t="s">
        <v>26</v>
      </c>
      <c r="E501" t="s">
        <v>17</v>
      </c>
      <c r="F501">
        <v>5278</v>
      </c>
      <c r="G501" s="1">
        <v>45112</v>
      </c>
      <c r="H501">
        <v>5</v>
      </c>
      <c r="I501">
        <v>3</v>
      </c>
      <c r="J501" t="s">
        <v>14</v>
      </c>
      <c r="K501" t="s">
        <v>20</v>
      </c>
    </row>
    <row r="502" spans="1:11" x14ac:dyDescent="0.3">
      <c r="A502">
        <v>1000</v>
      </c>
      <c r="B502" t="s">
        <v>522</v>
      </c>
      <c r="C502">
        <v>45</v>
      </c>
      <c r="D502" t="s">
        <v>26</v>
      </c>
      <c r="E502" t="s">
        <v>21</v>
      </c>
      <c r="F502">
        <v>7364</v>
      </c>
      <c r="G502" s="1">
        <v>44773</v>
      </c>
      <c r="H502">
        <v>2</v>
      </c>
      <c r="I502">
        <v>4</v>
      </c>
      <c r="J502" t="s">
        <v>14</v>
      </c>
      <c r="K502" t="s">
        <v>20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8FDA7-3C65-4A8E-AF27-8579541D1409}">
  <dimension ref="A2:CN36"/>
  <sheetViews>
    <sheetView tabSelected="1" topLeftCell="BB1" workbookViewId="0">
      <selection activeCell="I18" sqref="I18"/>
    </sheetView>
  </sheetViews>
  <sheetFormatPr defaultRowHeight="14.4" x14ac:dyDescent="0.3"/>
  <cols>
    <col min="1" max="1" width="12.33203125" bestFit="1" customWidth="1"/>
    <col min="2" max="2" width="15.88671875" bestFit="1" customWidth="1"/>
    <col min="3" max="6" width="7.21875" customWidth="1"/>
    <col min="10" max="10" width="85.6640625" bestFit="1" customWidth="1"/>
    <col min="11" max="11" width="19.44140625" bestFit="1" customWidth="1"/>
    <col min="20" max="20" width="12.5546875" bestFit="1" customWidth="1"/>
    <col min="21" max="21" width="10.33203125" bestFit="1" customWidth="1"/>
    <col min="22" max="22" width="13.88671875" bestFit="1" customWidth="1"/>
    <col min="30" max="30" width="12.5546875" bestFit="1" customWidth="1"/>
    <col min="31" max="31" width="10.33203125" bestFit="1" customWidth="1"/>
    <col min="32" max="32" width="13.88671875" bestFit="1" customWidth="1"/>
    <col min="40" max="40" width="12.5546875" bestFit="1" customWidth="1"/>
    <col min="41" max="41" width="13.88671875" bestFit="1" customWidth="1"/>
    <col min="50" max="50" width="39.21875" customWidth="1"/>
    <col min="51" max="51" width="10.33203125" bestFit="1" customWidth="1"/>
    <col min="52" max="53" width="7.5546875" bestFit="1" customWidth="1"/>
    <col min="54" max="54" width="10.77734375" bestFit="1" customWidth="1"/>
    <col min="60" max="60" width="46.109375" customWidth="1"/>
    <col min="61" max="61" width="16.109375" bestFit="1" customWidth="1"/>
    <col min="70" max="70" width="12.5546875" bestFit="1" customWidth="1"/>
    <col min="71" max="71" width="15.5546875" bestFit="1" customWidth="1"/>
    <col min="72" max="73" width="8.5546875" bestFit="1" customWidth="1"/>
    <col min="74" max="74" width="10.77734375" bestFit="1" customWidth="1"/>
    <col min="75" max="75" width="10.33203125" bestFit="1" customWidth="1"/>
    <col min="76" max="76" width="15.88671875" bestFit="1" customWidth="1"/>
    <col min="77" max="77" width="15.109375" bestFit="1" customWidth="1"/>
    <col min="78" max="78" width="20.6640625" bestFit="1" customWidth="1"/>
    <col min="81" max="81" width="12.77734375" bestFit="1" customWidth="1"/>
    <col min="82" max="82" width="10.33203125" bestFit="1" customWidth="1"/>
    <col min="91" max="91" width="12.5546875" bestFit="1" customWidth="1"/>
    <col min="92" max="92" width="15.88671875" bestFit="1" customWidth="1"/>
    <col min="102" max="102" width="12.5546875" bestFit="1" customWidth="1"/>
    <col min="103" max="103" width="15.88671875" bestFit="1" customWidth="1"/>
    <col min="104" max="104" width="16.6640625" bestFit="1" customWidth="1"/>
    <col min="105" max="122" width="3" bestFit="1" customWidth="1"/>
    <col min="123" max="123" width="10.77734375" bestFit="1" customWidth="1"/>
  </cols>
  <sheetData>
    <row r="2" spans="1:92" x14ac:dyDescent="0.3">
      <c r="AX2" s="3" t="s">
        <v>7</v>
      </c>
      <c r="AY2" t="s" vm="1">
        <v>530</v>
      </c>
      <c r="BH2" s="3" t="s">
        <v>7</v>
      </c>
      <c r="BI2" t="s" vm="3">
        <v>543</v>
      </c>
    </row>
    <row r="3" spans="1:92" x14ac:dyDescent="0.3">
      <c r="J3" s="3" t="s">
        <v>7</v>
      </c>
      <c r="K3" t="s" vm="1">
        <v>530</v>
      </c>
      <c r="T3" t="s">
        <v>541</v>
      </c>
      <c r="AD3" t="s">
        <v>540</v>
      </c>
      <c r="AX3" s="3" t="s">
        <v>4</v>
      </c>
      <c r="AY3" t="s" vm="2">
        <v>17</v>
      </c>
      <c r="BH3" s="3" t="s">
        <v>4</v>
      </c>
      <c r="BI3" t="s" vm="2">
        <v>17</v>
      </c>
    </row>
    <row r="4" spans="1:92" x14ac:dyDescent="0.3">
      <c r="A4" t="s">
        <v>539</v>
      </c>
      <c r="J4" t="s">
        <v>531</v>
      </c>
      <c r="T4" t="s">
        <v>536</v>
      </c>
      <c r="AD4" t="s">
        <v>537</v>
      </c>
      <c r="AN4" t="s">
        <v>538</v>
      </c>
      <c r="AX4" t="s">
        <v>542</v>
      </c>
      <c r="BH4" t="s">
        <v>544</v>
      </c>
    </row>
    <row r="5" spans="1:92" x14ac:dyDescent="0.3">
      <c r="A5" t="s">
        <v>523</v>
      </c>
      <c r="J5" s="3" t="s">
        <v>527</v>
      </c>
      <c r="K5" t="s">
        <v>529</v>
      </c>
      <c r="T5" s="3" t="s">
        <v>527</v>
      </c>
      <c r="U5" t="s">
        <v>523</v>
      </c>
      <c r="V5" t="s">
        <v>535</v>
      </c>
      <c r="AD5" s="3" t="s">
        <v>527</v>
      </c>
      <c r="AE5" t="s">
        <v>523</v>
      </c>
      <c r="AF5" t="s">
        <v>535</v>
      </c>
      <c r="AN5" s="3" t="s">
        <v>527</v>
      </c>
      <c r="AO5" t="s">
        <v>535</v>
      </c>
      <c r="AX5" s="3" t="s">
        <v>527</v>
      </c>
      <c r="AY5" t="s">
        <v>523</v>
      </c>
      <c r="BH5" s="3" t="s">
        <v>527</v>
      </c>
      <c r="BI5" t="s">
        <v>523</v>
      </c>
      <c r="BR5" s="3" t="s">
        <v>523</v>
      </c>
      <c r="BS5" s="3" t="s">
        <v>545</v>
      </c>
      <c r="CC5" s="3" t="s">
        <v>527</v>
      </c>
      <c r="CD5" t="s">
        <v>523</v>
      </c>
      <c r="CM5" s="3" t="s">
        <v>527</v>
      </c>
      <c r="CN5" t="s">
        <v>524</v>
      </c>
    </row>
    <row r="6" spans="1:92" x14ac:dyDescent="0.3">
      <c r="A6" s="2">
        <v>2935598</v>
      </c>
      <c r="B6" s="2"/>
      <c r="C6" s="2"/>
      <c r="D6" s="2"/>
      <c r="E6" s="2"/>
      <c r="F6" s="2"/>
      <c r="J6" s="4" t="s">
        <v>310</v>
      </c>
      <c r="K6" s="7">
        <v>10</v>
      </c>
      <c r="T6" s="4" t="s">
        <v>18</v>
      </c>
      <c r="U6" s="2">
        <v>1048891</v>
      </c>
      <c r="V6" s="7">
        <v>174</v>
      </c>
      <c r="AD6" s="4" t="s">
        <v>21</v>
      </c>
      <c r="AE6" s="2">
        <v>1012469</v>
      </c>
      <c r="AF6" s="7">
        <v>171</v>
      </c>
      <c r="AN6" s="4" t="s">
        <v>19</v>
      </c>
      <c r="AO6" s="7">
        <v>174</v>
      </c>
      <c r="AX6" s="4" t="s">
        <v>511</v>
      </c>
      <c r="AY6" s="2">
        <v>9331</v>
      </c>
      <c r="BH6" s="4" t="s">
        <v>401</v>
      </c>
      <c r="BI6" s="2">
        <v>9917</v>
      </c>
      <c r="BR6" s="3" t="s">
        <v>527</v>
      </c>
      <c r="BS6" t="s">
        <v>21</v>
      </c>
      <c r="BT6" t="s">
        <v>17</v>
      </c>
      <c r="BU6" t="s">
        <v>13</v>
      </c>
      <c r="BV6" t="s">
        <v>528</v>
      </c>
      <c r="CC6" s="4" t="s">
        <v>18</v>
      </c>
      <c r="CD6" s="2">
        <v>1048891</v>
      </c>
      <c r="CM6" s="4" t="s">
        <v>20</v>
      </c>
      <c r="CN6" s="7">
        <v>159</v>
      </c>
    </row>
    <row r="7" spans="1:92" x14ac:dyDescent="0.3">
      <c r="A7" s="6">
        <f>GETPIVOTDATA("[Measures].[TotalSalary]",$A$5)</f>
        <v>2935598</v>
      </c>
      <c r="J7" s="4" t="s">
        <v>290</v>
      </c>
      <c r="K7" s="7">
        <v>10</v>
      </c>
      <c r="T7" s="4" t="s">
        <v>14</v>
      </c>
      <c r="U7" s="2">
        <v>955413</v>
      </c>
      <c r="V7" s="7">
        <v>166</v>
      </c>
      <c r="AD7" s="4" t="s">
        <v>17</v>
      </c>
      <c r="AE7" s="2">
        <v>991706</v>
      </c>
      <c r="AF7" s="7">
        <v>173</v>
      </c>
      <c r="AN7" s="4" t="s">
        <v>15</v>
      </c>
      <c r="AO7" s="7">
        <v>168</v>
      </c>
      <c r="AX7" s="4" t="s">
        <v>135</v>
      </c>
      <c r="AY7" s="2">
        <v>9139</v>
      </c>
      <c r="BH7" s="4" t="s">
        <v>152</v>
      </c>
      <c r="BI7" s="2">
        <v>9455</v>
      </c>
      <c r="BR7" s="4" t="s">
        <v>18</v>
      </c>
      <c r="BS7" s="2">
        <v>372938</v>
      </c>
      <c r="BT7" s="2">
        <v>319157</v>
      </c>
      <c r="BU7" s="2">
        <v>356796</v>
      </c>
      <c r="BV7" s="2">
        <v>1048891</v>
      </c>
      <c r="CC7" s="4" t="s">
        <v>14</v>
      </c>
      <c r="CD7" s="2">
        <v>955413</v>
      </c>
      <c r="CM7" s="4" t="s">
        <v>15</v>
      </c>
      <c r="CN7" s="7">
        <v>168</v>
      </c>
    </row>
    <row r="8" spans="1:92" x14ac:dyDescent="0.3">
      <c r="J8" s="4" t="s">
        <v>438</v>
      </c>
      <c r="K8" s="7">
        <v>10</v>
      </c>
      <c r="T8" s="4" t="s">
        <v>23</v>
      </c>
      <c r="U8" s="2">
        <v>931294</v>
      </c>
      <c r="V8" s="7">
        <v>161</v>
      </c>
      <c r="AD8" s="4" t="s">
        <v>13</v>
      </c>
      <c r="AE8" s="2">
        <v>931423</v>
      </c>
      <c r="AF8" s="7">
        <v>157</v>
      </c>
      <c r="AN8" s="4" t="s">
        <v>20</v>
      </c>
      <c r="AO8" s="7">
        <v>159</v>
      </c>
      <c r="AX8" s="4" t="s">
        <v>38</v>
      </c>
      <c r="AY8" s="2">
        <v>8678</v>
      </c>
      <c r="BH8" s="4" t="s">
        <v>351</v>
      </c>
      <c r="BI8" s="2">
        <v>9053</v>
      </c>
      <c r="BR8" s="4" t="s">
        <v>14</v>
      </c>
      <c r="BS8" s="2">
        <v>359409</v>
      </c>
      <c r="BT8" s="2">
        <v>328987</v>
      </c>
      <c r="BU8" s="2">
        <v>267017</v>
      </c>
      <c r="BV8" s="2">
        <v>955413</v>
      </c>
      <c r="CC8" s="4" t="s">
        <v>23</v>
      </c>
      <c r="CD8" s="2">
        <v>931294</v>
      </c>
      <c r="CM8" s="4" t="s">
        <v>19</v>
      </c>
      <c r="CN8" s="7">
        <v>174</v>
      </c>
    </row>
    <row r="9" spans="1:92" x14ac:dyDescent="0.3">
      <c r="A9" t="s">
        <v>526</v>
      </c>
      <c r="J9" s="4" t="s">
        <v>231</v>
      </c>
      <c r="K9" s="7">
        <v>10</v>
      </c>
      <c r="T9" s="4" t="s">
        <v>528</v>
      </c>
      <c r="U9" s="2">
        <v>2935598</v>
      </c>
      <c r="V9" s="7">
        <v>501</v>
      </c>
      <c r="AD9" s="4" t="s">
        <v>528</v>
      </c>
      <c r="AE9" s="2">
        <v>2935598</v>
      </c>
      <c r="AF9" s="7">
        <v>501</v>
      </c>
      <c r="AN9" s="4" t="s">
        <v>528</v>
      </c>
      <c r="AO9" s="7">
        <v>501</v>
      </c>
      <c r="AX9" s="4" t="s">
        <v>528</v>
      </c>
      <c r="AY9" s="2">
        <v>27148</v>
      </c>
      <c r="BH9" s="4" t="s">
        <v>509</v>
      </c>
      <c r="BI9" s="2">
        <v>8928</v>
      </c>
      <c r="BR9" s="4" t="s">
        <v>23</v>
      </c>
      <c r="BS9" s="2">
        <v>280122</v>
      </c>
      <c r="BT9" s="2">
        <v>343562</v>
      </c>
      <c r="BU9" s="2">
        <v>307610</v>
      </c>
      <c r="BV9" s="2">
        <v>931294</v>
      </c>
      <c r="CC9" s="4" t="s">
        <v>528</v>
      </c>
      <c r="CD9" s="2">
        <v>2935598</v>
      </c>
      <c r="CM9" s="4" t="s">
        <v>528</v>
      </c>
      <c r="CN9" s="7">
        <v>501</v>
      </c>
    </row>
    <row r="10" spans="1:92" x14ac:dyDescent="0.3">
      <c r="A10" t="s">
        <v>524</v>
      </c>
      <c r="J10" s="4" t="s">
        <v>205</v>
      </c>
      <c r="K10" s="7">
        <v>10</v>
      </c>
      <c r="BH10" s="4" t="s">
        <v>352</v>
      </c>
      <c r="BI10" s="2">
        <v>8898</v>
      </c>
      <c r="BR10" s="4" t="s">
        <v>528</v>
      </c>
      <c r="BS10" s="2">
        <v>1012469</v>
      </c>
      <c r="BT10" s="2">
        <v>991706</v>
      </c>
      <c r="BU10" s="2">
        <v>931423</v>
      </c>
      <c r="BV10" s="2">
        <v>2935598</v>
      </c>
    </row>
    <row r="11" spans="1:92" x14ac:dyDescent="0.3">
      <c r="A11" s="7">
        <v>501</v>
      </c>
      <c r="J11" s="4" t="s">
        <v>316</v>
      </c>
      <c r="K11" s="7">
        <v>9</v>
      </c>
      <c r="BH11" s="4" t="s">
        <v>341</v>
      </c>
      <c r="BI11" s="2">
        <v>8643</v>
      </c>
    </row>
    <row r="12" spans="1:92" x14ac:dyDescent="0.3">
      <c r="A12">
        <f>GETPIVOTDATA("[Measures].[# TotalEmployees]",$A$10)</f>
        <v>501</v>
      </c>
      <c r="J12" s="4" t="s">
        <v>224</v>
      </c>
      <c r="K12" s="7">
        <v>9</v>
      </c>
      <c r="BH12" s="4" t="s">
        <v>453</v>
      </c>
      <c r="BI12" s="2">
        <v>8619</v>
      </c>
    </row>
    <row r="13" spans="1:92" x14ac:dyDescent="0.3">
      <c r="J13" s="4" t="s">
        <v>259</v>
      </c>
      <c r="K13" s="7">
        <v>9</v>
      </c>
      <c r="BH13" s="4" t="s">
        <v>329</v>
      </c>
      <c r="BI13" s="2">
        <v>8377</v>
      </c>
    </row>
    <row r="14" spans="1:92" x14ac:dyDescent="0.3">
      <c r="J14" s="4" t="s">
        <v>38</v>
      </c>
      <c r="K14" s="7">
        <v>9</v>
      </c>
      <c r="BH14" s="4" t="s">
        <v>194</v>
      </c>
      <c r="BI14" s="2">
        <v>8344</v>
      </c>
    </row>
    <row r="15" spans="1:92" x14ac:dyDescent="0.3">
      <c r="A15" t="s">
        <v>525</v>
      </c>
      <c r="J15" s="4" t="s">
        <v>369</v>
      </c>
      <c r="K15" s="7">
        <v>9</v>
      </c>
      <c r="BH15" s="4" t="s">
        <v>153</v>
      </c>
      <c r="BI15" s="2">
        <v>8334</v>
      </c>
    </row>
    <row r="16" spans="1:92" x14ac:dyDescent="0.3">
      <c r="A16" s="2">
        <v>5859.4770459081838</v>
      </c>
      <c r="B16" s="2"/>
      <c r="C16" s="2"/>
      <c r="D16" s="2"/>
      <c r="E16" s="2"/>
      <c r="F16" s="2"/>
      <c r="J16" s="4" t="s">
        <v>345</v>
      </c>
      <c r="K16" s="7">
        <v>9</v>
      </c>
      <c r="BH16" s="4" t="s">
        <v>318</v>
      </c>
      <c r="BI16" s="2">
        <v>8054</v>
      </c>
    </row>
    <row r="17" spans="1:61" x14ac:dyDescent="0.3">
      <c r="A17" s="6">
        <f>GETPIVOTDATA("[Measures].[AvgSalary]",$A$15)</f>
        <v>5859.4770459081838</v>
      </c>
      <c r="BH17" s="4" t="s">
        <v>528</v>
      </c>
      <c r="BI17" s="2">
        <v>96622</v>
      </c>
    </row>
    <row r="19" spans="1:61" x14ac:dyDescent="0.3">
      <c r="A19" t="s">
        <v>532</v>
      </c>
    </row>
    <row r="20" spans="1:61" x14ac:dyDescent="0.3">
      <c r="A20" t="s">
        <v>533</v>
      </c>
    </row>
    <row r="21" spans="1:61" x14ac:dyDescent="0.3">
      <c r="A21" s="7">
        <v>163</v>
      </c>
    </row>
    <row r="24" spans="1:61" x14ac:dyDescent="0.3">
      <c r="A24" t="s">
        <v>546</v>
      </c>
    </row>
    <row r="25" spans="1:61" x14ac:dyDescent="0.3">
      <c r="A25" t="s">
        <v>534</v>
      </c>
    </row>
    <row r="26" spans="1:61" x14ac:dyDescent="0.3">
      <c r="A26" s="7">
        <v>97</v>
      </c>
    </row>
    <row r="32" spans="1:61" x14ac:dyDescent="0.3">
      <c r="A32" s="3" t="s">
        <v>527</v>
      </c>
      <c r="B32" t="s">
        <v>524</v>
      </c>
    </row>
    <row r="33" spans="1:2" x14ac:dyDescent="0.3">
      <c r="A33" s="4" t="s">
        <v>12</v>
      </c>
      <c r="B33" s="7">
        <v>169</v>
      </c>
    </row>
    <row r="34" spans="1:2" x14ac:dyDescent="0.3">
      <c r="A34" s="4" t="s">
        <v>26</v>
      </c>
      <c r="B34" s="7">
        <v>176</v>
      </c>
    </row>
    <row r="35" spans="1:2" x14ac:dyDescent="0.3">
      <c r="A35" s="4" t="s">
        <v>16</v>
      </c>
      <c r="B35" s="7">
        <v>156</v>
      </c>
    </row>
    <row r="36" spans="1:2" x14ac:dyDescent="0.3">
      <c r="A36" s="4" t="s">
        <v>528</v>
      </c>
      <c r="B36" s="7">
        <v>501</v>
      </c>
    </row>
  </sheetData>
  <pageMargins left="0.7" right="0.7" top="0.75" bottom="0.75" header="0.3" footer="0.3"/>
  <pageSetup orientation="portrait" r:id="rId16"/>
  <drawing r:id="rId1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showGridLines="0" showRowColHeaders="0" zoomScaleNormal="100" workbookViewId="0">
      <selection activeCell="L13" sqref="A1:XFD1048576"/>
    </sheetView>
  </sheetViews>
  <sheetFormatPr defaultRowHeight="14.4" x14ac:dyDescent="0.3"/>
  <cols>
    <col min="1" max="16384" width="8.8867187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Props1.xml><?xml version="1.0" encoding="utf-8"?>
<ds:datastoreItem xmlns:ds="http://schemas.openxmlformats.org/officeDocument/2006/customXml" ds:itemID="{D209D8E7-0717-4C02-BF67-42BEF88B36DE}">
  <ds:schemaRefs/>
</ds:datastoreItem>
</file>

<file path=customXml/itemProps2.xml><?xml version="1.0" encoding="utf-8"?>
<ds:datastoreItem xmlns:ds="http://schemas.openxmlformats.org/officeDocument/2006/customXml" ds:itemID="{FED6F1A4-F687-4C58-8B54-D995C5A9B787}">
  <ds:schemaRefs/>
</ds:datastoreItem>
</file>

<file path=customXml/itemProps3.xml><?xml version="1.0" encoding="utf-8"?>
<ds:datastoreItem xmlns:ds="http://schemas.openxmlformats.org/officeDocument/2006/customXml" ds:itemID="{00BDB658-410F-436E-9B64-336191ADD3FA}">
  <ds:schemaRefs/>
</ds:datastoreItem>
</file>

<file path=customXml/itemProps4.xml><?xml version="1.0" encoding="utf-8"?>
<ds:datastoreItem xmlns:ds="http://schemas.openxmlformats.org/officeDocument/2006/customXml" ds:itemID="{D15BFB15-965D-4309-8412-1A62EBBC1DD7}">
  <ds:schemaRefs/>
</ds:datastoreItem>
</file>

<file path=customXml/itemProps5.xml><?xml version="1.0" encoding="utf-8"?>
<ds:datastoreItem xmlns:ds="http://schemas.openxmlformats.org/officeDocument/2006/customXml" ds:itemID="{4CC68458-C212-4324-B267-8D5178EB8FA5}">
  <ds:schemaRefs/>
</ds:datastoreItem>
</file>

<file path=customXml/itemProps6.xml><?xml version="1.0" encoding="utf-8"?>
<ds:datastoreItem xmlns:ds="http://schemas.openxmlformats.org/officeDocument/2006/customXml" ds:itemID="{E60DF4C2-A0A5-42F2-9F8C-97AF67CAA626}">
  <ds:schemaRefs/>
</ds:datastoreItem>
</file>

<file path=customXml/itemProps7.xml><?xml version="1.0" encoding="utf-8"?>
<ds:datastoreItem xmlns:ds="http://schemas.openxmlformats.org/officeDocument/2006/customXml" ds:itemID="{93699782-74DF-476C-8D6C-0DF606539036}">
  <ds:schemaRefs>
    <ds:schemaRef ds:uri="http://schemas.microsoft.com/DataMashup"/>
  </ds:schemaRefs>
</ds:datastoreItem>
</file>

<file path=customXml/itemProps8.xml><?xml version="1.0" encoding="utf-8"?>
<ds:datastoreItem xmlns:ds="http://schemas.openxmlformats.org/officeDocument/2006/customXml" ds:itemID="{357310A6-8BB9-461C-BD35-70CB11DAD824}">
  <ds:schemaRefs/>
</ds:datastoreItem>
</file>

<file path=customXml/itemProps9.xml><?xml version="1.0" encoding="utf-8"?>
<ds:datastoreItem xmlns:ds="http://schemas.openxmlformats.org/officeDocument/2006/customXml" ds:itemID="{E91CAA09-6E70-4AE3-BF2C-28024CC866D7}">
  <ds:schemaRefs/>
</ds:datastoreItem>
</file>

<file path=customXml/itemProps10.xml><?xml version="1.0" encoding="utf-8"?>
<ds:datastoreItem xmlns:ds="http://schemas.openxmlformats.org/officeDocument/2006/customXml" ds:itemID="{46AB2EB3-3E3D-4CD5-A7E7-AF5D7A36FF17}">
  <ds:schemaRefs/>
</ds:datastoreItem>
</file>

<file path=customXml/itemProps11.xml><?xml version="1.0" encoding="utf-8"?>
<ds:datastoreItem xmlns:ds="http://schemas.openxmlformats.org/officeDocument/2006/customXml" ds:itemID="{B26C5414-B8A7-4117-A3D0-240B21350B2E}">
  <ds:schemaRefs/>
</ds:datastoreItem>
</file>

<file path=customXml/itemProps12.xml><?xml version="1.0" encoding="utf-8"?>
<ds:datastoreItem xmlns:ds="http://schemas.openxmlformats.org/officeDocument/2006/customXml" ds:itemID="{65508188-0E31-4637-9319-87C94959EC14}">
  <ds:schemaRefs/>
</ds:datastoreItem>
</file>

<file path=customXml/itemProps13.xml><?xml version="1.0" encoding="utf-8"?>
<ds:datastoreItem xmlns:ds="http://schemas.openxmlformats.org/officeDocument/2006/customXml" ds:itemID="{BC3BC74D-DDCE-4378-8475-DAC9CA16691F}">
  <ds:schemaRefs/>
</ds:datastoreItem>
</file>

<file path=customXml/itemProps14.xml><?xml version="1.0" encoding="utf-8"?>
<ds:datastoreItem xmlns:ds="http://schemas.openxmlformats.org/officeDocument/2006/customXml" ds:itemID="{E979BDCB-BAAD-4EDE-83EA-3B29271976A6}">
  <ds:schemaRefs/>
</ds:datastoreItem>
</file>

<file path=customXml/itemProps15.xml><?xml version="1.0" encoding="utf-8"?>
<ds:datastoreItem xmlns:ds="http://schemas.openxmlformats.org/officeDocument/2006/customXml" ds:itemID="{EC521FA4-C105-4783-9643-533FE3B87AE8}">
  <ds:schemaRefs/>
</ds:datastoreItem>
</file>

<file path=customXml/itemProps16.xml><?xml version="1.0" encoding="utf-8"?>
<ds:datastoreItem xmlns:ds="http://schemas.openxmlformats.org/officeDocument/2006/customXml" ds:itemID="{7BE225A2-BC34-4748-8E32-D128006152EC}">
  <ds:schemaRefs/>
</ds:datastoreItem>
</file>

<file path=customXml/itemProps17.xml><?xml version="1.0" encoding="utf-8"?>
<ds:datastoreItem xmlns:ds="http://schemas.openxmlformats.org/officeDocument/2006/customXml" ds:itemID="{F65F5785-B46C-41CE-86A2-07BD0EDD434C}">
  <ds:schemaRefs/>
</ds:datastoreItem>
</file>

<file path=customXml/itemProps18.xml><?xml version="1.0" encoding="utf-8"?>
<ds:datastoreItem xmlns:ds="http://schemas.openxmlformats.org/officeDocument/2006/customXml" ds:itemID="{1ED0FB52-E939-46B7-AC71-67B3F9D128C1}">
  <ds:schemaRefs/>
</ds:datastoreItem>
</file>

<file path=customXml/itemProps19.xml><?xml version="1.0" encoding="utf-8"?>
<ds:datastoreItem xmlns:ds="http://schemas.openxmlformats.org/officeDocument/2006/customXml" ds:itemID="{F93AEC63-8ADA-496D-8D39-B150B9534E1B}">
  <ds:schemaRefs/>
</ds:datastoreItem>
</file>

<file path=customXml/itemProps20.xml><?xml version="1.0" encoding="utf-8"?>
<ds:datastoreItem xmlns:ds="http://schemas.openxmlformats.org/officeDocument/2006/customXml" ds:itemID="{C7DEC4AA-67B4-4124-BB9A-4FD591F29B43}">
  <ds:schemaRefs/>
</ds:datastoreItem>
</file>

<file path=customXml/itemProps21.xml><?xml version="1.0" encoding="utf-8"?>
<ds:datastoreItem xmlns:ds="http://schemas.openxmlformats.org/officeDocument/2006/customXml" ds:itemID="{C9277705-33C1-4DBB-9B55-D869B3F8DB13}">
  <ds:schemaRefs/>
</ds:datastoreItem>
</file>

<file path=customXml/itemProps22.xml><?xml version="1.0" encoding="utf-8"?>
<ds:datastoreItem xmlns:ds="http://schemas.openxmlformats.org/officeDocument/2006/customXml" ds:itemID="{264C755A-DB8B-40ED-82FA-C37DDCD02C2F}">
  <ds:schemaRefs/>
</ds:datastoreItem>
</file>

<file path=customXml/itemProps23.xml><?xml version="1.0" encoding="utf-8"?>
<ds:datastoreItem xmlns:ds="http://schemas.openxmlformats.org/officeDocument/2006/customXml" ds:itemID="{E067DA74-4E40-4128-A2A6-98E549E776EB}">
  <ds:schemaRefs/>
</ds:datastoreItem>
</file>

<file path=customXml/itemProps24.xml><?xml version="1.0" encoding="utf-8"?>
<ds:datastoreItem xmlns:ds="http://schemas.openxmlformats.org/officeDocument/2006/customXml" ds:itemID="{6D7B1B91-B253-41AA-AA5F-844AEA6A0576}">
  <ds:schemaRefs/>
</ds:datastoreItem>
</file>

<file path=customXml/itemProps25.xml><?xml version="1.0" encoding="utf-8"?>
<ds:datastoreItem xmlns:ds="http://schemas.openxmlformats.org/officeDocument/2006/customXml" ds:itemID="{F914E3C8-ABF8-48CD-AF2B-3B02F80FE3BB}">
  <ds:schemaRefs/>
</ds:datastoreItem>
</file>

<file path=customXml/itemProps26.xml><?xml version="1.0" encoding="utf-8"?>
<ds:datastoreItem xmlns:ds="http://schemas.openxmlformats.org/officeDocument/2006/customXml" ds:itemID="{8B88C64C-17EE-4BA9-848D-02C4E2FE5A94}">
  <ds:schemaRefs/>
</ds:datastoreItem>
</file>

<file path=customXml/itemProps27.xml><?xml version="1.0" encoding="utf-8"?>
<ds:datastoreItem xmlns:ds="http://schemas.openxmlformats.org/officeDocument/2006/customXml" ds:itemID="{84FC2FF6-7678-431A-9F5F-C9D3749E90D2}">
  <ds:schemaRefs/>
</ds:datastoreItem>
</file>

<file path=customXml/itemProps28.xml><?xml version="1.0" encoding="utf-8"?>
<ds:datastoreItem xmlns:ds="http://schemas.openxmlformats.org/officeDocument/2006/customXml" ds:itemID="{6C08037A-21AC-43D7-9990-6BBFBA60D8F5}">
  <ds:schemaRefs/>
</ds:datastoreItem>
</file>

<file path=customXml/itemProps29.xml><?xml version="1.0" encoding="utf-8"?>
<ds:datastoreItem xmlns:ds="http://schemas.openxmlformats.org/officeDocument/2006/customXml" ds:itemID="{F3B7E9E3-6F43-4533-B28D-382ABD30C61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Employe_Performance_dataset</vt:lpstr>
      <vt:lpstr>Calculation</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Osama Muharram</dc:creator>
  <cp:lastModifiedBy>Osama Muharram</cp:lastModifiedBy>
  <dcterms:created xsi:type="dcterms:W3CDTF">2015-06-05T18:17:20Z</dcterms:created>
  <dcterms:modified xsi:type="dcterms:W3CDTF">2025-01-01T21:27:41Z</dcterms:modified>
</cp:coreProperties>
</file>